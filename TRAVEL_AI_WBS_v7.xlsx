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45" windowHeight="13500"/>
  </x:bookViews>
  <x:sheets>
    <x:sheet name="WBS" sheetId="1" r:id="rId4"/>
  </x:sheets>
  <x:definedNames>
    <x:definedName name="_xlnm.Print_Area" localSheetId="0">WBS!$A$2:$AL$114</x:definedName>
    <x:definedName name="_xlnm.Print_Titles" localSheetId="0">WBS!$2:$5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<x:sst xmlns:r="http://schemas.openxmlformats.org/officeDocument/2006/relationships" xmlns:c="http://schemas.openxmlformats.org/drawingml/2006/chart" xmlns:x="http://schemas.openxmlformats.org/spreadsheetml/2006/main" count="537" uniqueCount="261">
  <x:si>
    <x:t>Flask 서버 구성 및 API 개발</x:t>
  </x:si>
  <x:si>
    <x:t>로딩, 피드백, 에러 처리 UX 개선</x:t>
  </x:si>
  <x:si>
    <x:t>차량 등록, 조회, 수정, 삭제 API</x:t>
  </x:si>
  <x:si>
    <x:t>취약점 테스트 (SQLi, XSS 등)</x:t>
  </x:si>
  <x:si>
    <x:t>API 및 모델 버전 관리 및 배포 계획</x:t>
  </x:si>
  <x:si>
    <x:t>화물 등록, 조회, 수정, 삭제 API</x:t>
  </x:si>
  <x:si>
    <x:t>시스템 최적화 및 사용자 피드백 반영</x:t>
  </x:si>
  <x:si>
    <x:t>관리자 운영 및 유지보수 가이드 작성</x:t>
  </x:si>
  <x:si>
    <x:t>개발</x:t>
  </x:si>
  <x:si>
    <x:t>테스트</x:t>
  </x:si>
  <x:si>
    <x:t>안정화</x:t>
  </x:si>
  <x:si>
    <x:t>No</x:t>
  </x:si>
  <x:si>
    <x:t>비고</x:t>
  </x:si>
  <x:si>
    <x:t>진행율</x:t>
  </x:si>
  <x:si>
    <x:t>설계</x:t>
  </x:si>
  <x:si>
    <x:t>4.2</x:t>
  </x:si>
  <x:si>
    <x:t>2.1</x:t>
  </x:si>
  <x:si>
    <x:t>월</x:t>
  </x:si>
  <x:si>
    <x:t>1.1</x:t>
  </x:si>
  <x:si>
    <x:t>목</x:t>
  </x:si>
  <x:si>
    <x:t xml:space="preserve"> </x:t>
  </x:si>
  <x:si>
    <x:t>3</x:t>
  </x:si>
  <x:si>
    <x:t>2</x:t>
  </x:si>
  <x:si>
    <x:t>4.1</x:t>
  </x:si>
  <x:si>
    <x:t>담당자</x:t>
  </x:si>
  <x:si>
    <x:t>6.2</x:t>
  </x:si>
  <x:si>
    <x:t>수</x:t>
  </x:si>
  <x:si>
    <x:t>이행</x:t>
  </x:si>
  <x:si>
    <x:t>1w</x:t>
  </x:si>
  <x:si>
    <x:t>4.3</x:t>
  </x:si>
  <x:si>
    <x:t>no</x:t>
  </x:si>
  <x:si>
    <x:t>2w</x:t>
  </x:si>
  <x:si>
    <x:t>1.2</x:t>
  </x:si>
  <x:si>
    <x:t>예산</x:t>
  </x:si>
  <x:si>
    <x:t>황수용</x:t>
  </x:si>
  <x:si>
    <x:t>김유신</x:t>
  </x:si>
  <x:si>
    <x:t>화</x:t>
  </x:si>
  <x:si>
    <x:t>5</x:t>
  </x:si>
  <x:si>
    <x:t/>
  </x:si>
  <x:si>
    <x:t>3.2</x:t>
  </x:si>
  <x:si>
    <x:t>종료일</x:t>
  </x:si>
  <x:si>
    <x:t>2.4</x:t>
  </x:si>
  <x:si>
    <x:t>2.3</x:t>
  </x:si>
  <x:si>
    <x:t>일수</x:t>
  </x:si>
  <x:si>
    <x:t>4.4</x:t>
  </x:si>
  <x:si>
    <x:t>6.1</x:t>
  </x:si>
  <x:si>
    <x:t>1.3</x:t>
  </x:si>
  <x:si>
    <x:t>7월</x:t>
  </x:si>
  <x:si>
    <x:t>6</x:t>
  </x:si>
  <x:si>
    <x:t>완료일</x:t>
  </x:si>
  <x:si>
    <x:t>5.2</x:t>
  </x:si>
  <x:si>
    <x:t>금</x:t>
  </x:si>
  <x:si>
    <x:t>5.1</x:t>
  </x:si>
  <x:si>
    <x:t>3.1</x:t>
  </x:si>
  <x:si>
    <x:t>일</x:t>
  </x:si>
  <x:si>
    <x:t>2.5</x:t>
  </x:si>
  <x:si>
    <x:t>4</x:t>
  </x:si>
  <x:si>
    <x:t>토</x:t>
  </x:si>
  <x:si>
    <x:t>4.6</x:t>
  </x:si>
  <x:si>
    <x:t>임규리</x:t>
  </x:si>
  <x:si>
    <x:t>과제명</x:t>
  </x:si>
  <x:si>
    <x:t>3.3</x:t>
  </x:si>
  <x:si>
    <x:t>3w</x:t>
  </x:si>
  <x:si>
    <x:t>박예슬</x:t>
  </x:si>
  <x:si>
    <x:t>4.5</x:t>
  </x:si>
  <x:si>
    <x:t>공통</x:t>
  </x:si>
  <x:si>
    <x:t>1</x:t>
  </x:si>
  <x:si>
    <x:t>분석</x:t>
  </x:si>
  <x:si>
    <x:t>손유빈</x:t>
  </x:si>
  <x:si>
    <x:t>시작일</x:t>
  </x:si>
  <x:si>
    <x:t>매칭 상태 관리 API (배차 승인, 취소, 완료 등)</x:t>
  </x:si>
  <x:si>
    <x:t>HTML, CSS, JavaScript 기반 UI 개발</x:t>
  </x:si>
  <x:si>
    <x:t>보안 아키텍처 설계 (방화벽, 인증/인가, DMZ 등)</x:t>
  </x:si>
  <x:si>
    <x:t>규제 및 법적 요구사항 분석 (개인정보 보호 등 법적으로 준수해야 할 요구사항 분석)</x:t>
  </x:si>
  <x:si>
    <x:t>데이터 요구사항 정의 (시스템에서 필요 데이터의 종류, 수집 및 저장 정책 정의)</x:t>
  </x:si>
  <x:si>
    <x:t>ERD 상세 설계 및 정규화 (컬럼, 자료형, PK/FK, 제약 조건, 정규화 등)</x:t>
  </x:si>
  <x:si>
    <x:t>테스트 및 검증 계획 정의 (시스템 기능과 성능을 어떻게 검증할지 기준 및 절차 수립)</x:t>
  </x:si>
  <x:si>
    <x:t>사용자 인증 API</x:t>
  </x:si>
  <x:si>
    <x:t>API 명세서 작성</x:t>
  </x:si>
  <x:si>
    <x:t>SQL 설정 최적화</x:t>
  </x:si>
  <x:si>
    <x:t>UI 컴포넌트 설계</x:t>
  </x:si>
  <x:si>
    <x:t>화물/차량 관리 모듈</x:t>
  </x:si>
  <x:si>
    <x:t>데이터 관리 모듈</x:t>
  </x:si>
  <x:si>
    <x:t>시나리오 테스트</x:t>
  </x:si>
  <x:si>
    <x:t>프론트엔드 구조 설계</x:t>
  </x:si>
  <x:si>
    <x:t>시스템 아키텍처 설계</x:t>
  </x:si>
  <x:si>
    <x:t>콜라보레이팅 모델</x:t>
  </x:si>
  <x:si>
    <x:t>매칭 관리 모듈</x:t>
  </x:si>
  <x:si>
    <x:t>웹 디자인 설계</x:t>
  </x:si>
  <x:si>
    <x:t>UX 흐름 설계</x:t>
  </x:si>
  <x:si>
    <x:t>와이어프레임 설계</x:t>
  </x:si>
  <x:si>
    <x:t>전체 기능 테스트</x:t>
  </x:si>
  <x:si>
    <x:t>결제 및 정산 API</x:t>
  </x:si>
  <x:si>
    <x:t>업무량(누적일수)</x:t>
  </x:si>
  <x:si>
    <x:t>UX/UI 개선</x:t>
  </x:si>
  <x:si>
    <x:t>이행율
(집접입력)</x:t>
  </x:si>
  <x:si>
    <x:t>API - DB 연동</x:t>
  </x:si>
  <x:si>
    <x:t>AI 모델 개발</x:t>
  </x:si>
  <x:si>
    <x:t>CARGO_AI</x:t>
  </x:si>
  <x:si>
    <x:t>API - AI 연동</x:t>
  </x:si>
  <x:si>
    <x:t>start_date</x:t>
  </x:si>
  <x:si>
    <x:t>웹 서비스 모듈</x:t>
  </x:si>
  <x:si>
    <x:t>end_date</x:t>
  </x:si>
  <x:si>
    <x:t>결제/정산 진행 화면</x:t>
  </x:si>
  <x:si>
    <x:t>매칭 관련 API</x:t>
  </x:si>
  <x:si>
    <x:t>실시간 데이터 처리</x:t>
  </x:si>
  <x:si>
    <x:t>백엔드 구조 설계</x:t>
  </x:si>
  <x:si>
    <x:t>프론트엔드 개발</x:t>
  </x:si>
  <x:si>
    <x:t xml:space="preserve">사용자 웹 서비스
</x:t>
  </x:si>
  <x:si>
    <x:t>AI 매칭/추천 모듈</x:t>
  </x:si>
  <x:si>
    <x:t>사용자 관리 모듈</x:t>
  </x:si>
  <x:si>
    <x:t>인증/인가 로직 검증</x:t>
  </x:si>
  <x:si>
    <x:t>네트워크 환경 테스트</x:t>
  </x:si>
  <x:si>
    <x:t>운영 환경 구축</x:t>
  </x:si>
  <x:si>
    <x:t>서버 구조 정의</x:t>
  </x:si>
  <x:si>
    <x:t>차량 관리 화면</x:t>
  </x:si>
  <x:si>
    <x:t>비기능 요구사항 정의 (시스템의 성능, 보안, 가용성 등 품질 요건 정의)</x:t>
  </x:si>
  <x:si>
    <x:t>기능 요구사항 명세 작성 (시스템이 제공해야 할 구체적 기능 목록 작성)</x:t>
  </x:si>
  <x:si>
    <x:t>데이터 흐름 설계 (컴포넌트 간 데이터 이동 및 인터페이스)</x:t>
  </x:si>
  <x:si>
    <x:t>서버 및 네트워크 구조 설계 (로드밸런서, 보안 네트워크 포함)</x:t>
  </x:si>
  <x:si>
    <x:t>데이터베이스 스키마 개략 설계 (ERD 초안, 테이블 구조 큰 틀 등)</x:t>
  </x:si>
  <x:si>
    <x:t>시스템 구성 요소 설계 (모듈, 서버 역할, 주요 컴포넌트 정의)</x:t>
  </x:si>
  <x:si>
    <x:t>PM: 손유빈, BACK: 황수용,박예슬 FRONT:임규리,김유신</x:t>
  </x:si>
  <x:si>
    <x:t>AI 기반 매칭 결과 제공 API</x:t>
  </x:si>
  <x:si>
    <x:t>시연 발표용 문서/슬라이드 제작</x:t>
  </x:si>
  <x:si>
    <x:t>API 연동 및 외부 서비스 검토</x:t>
  </x:si>
  <x:si>
    <x:t>AI 모델 학습 가이드 문서 작성</x:t>
  </x:si>
  <x:si>
    <x:t>사용자 활동 로그 기록 및 분석</x:t>
  </x:si>
  <x:si>
    <x:t>매칭 결과 및 진행 현황 화면</x:t>
  </x:si>
  <x:si>
    <x:t>장애 감지 및 대응 체계 구축</x:t>
  </x:si>
  <x:si>
    <x:t>요금 견적 및 결제 처리 API</x:t>
  </x:si>
  <x:si>
    <x:t>AI 모델 배포 및 운영 환경 구축</x:t>
  </x:si>
  <x:si>
    <x:t>작성일 : 2025.07.22</x:t>
  </x:si>
  <x:si>
    <x:t>시장 조사 (유사 시스템 분석)</x:t>
  </x:si>
  <x:si>
    <x:t>프로젝트 문서화 및 가이드 작성</x:t>
  </x:si>
  <x:si>
    <x:t>웹 및 데이터 서버 환경 정의</x:t>
  </x:si>
  <x:si>
    <x:t>화물 등록 및 상태 확인 화면</x:t>
  </x:si>
  <x:si>
    <x:t>보안 요구사항 정의 (암호화, 인증/인가 등)</x:t>
  </x:si>
  <x:si>
    <x:t>성능 요구사항 정의 (응답 속도, 처리량 등)</x:t>
  </x:si>
  <x:si>
    <x:t>요구사항 정의 및 수집 (사용자의 요구 분석)</x:t>
  </x:si>
  <x:si>
    <x:t>2.4.2</x:t>
  </x:si>
  <x:si>
    <x:t>2.3.1</x:t>
  </x:si>
  <x:si>
    <x:t>5.2.2</x:t>
  </x:si>
  <x:si>
    <x:t>1.2.5</x:t>
  </x:si>
  <x:si>
    <x:t>4.1.1</x:t>
  </x:si>
  <x:si>
    <x:t>1.2.4</x:t>
  </x:si>
  <x:si>
    <x:t>1.1.4</x:t>
  </x:si>
  <x:si>
    <x:t>2.3.2</x:t>
  </x:si>
  <x:si>
    <x:t>기간진행현황</x:t>
  </x:si>
  <x:si>
    <x:t>4.2.2</x:t>
  </x:si>
  <x:si>
    <x:t>2.1.2</x:t>
  </x:si>
  <x:si>
    <x:t>6.2.4</x:t>
  </x:si>
  <x:si>
    <x:t>4.3.3</x:t>
  </x:si>
  <x:si>
    <x:t>1.1.3</x:t>
  </x:si>
  <x:si>
    <x:t>1.2.1</x:t>
  </x:si>
  <x:si>
    <x:t>comment</x:t>
  </x:si>
  <x:si>
    <x:t>6.1.4</x:t>
  </x:si>
  <x:si>
    <x:t>4.3.1</x:t>
  </x:si>
  <x:si>
    <x:t>3.1.1.1</x:t>
  </x:si>
  <x:si>
    <x:t>4.1.3</x:t>
  </x:si>
  <x:si>
    <x:t>3.1.4.2</x:t>
  </x:si>
  <x:si>
    <x:t>6.2.5</x:t>
  </x:si>
  <x:si>
    <x:t>title</x:t>
  </x:si>
  <x:si>
    <x:t>3.2.2.1</x:t>
  </x:si>
  <x:si>
    <x:t>3.2.1</x:t>
  </x:si>
  <x:si>
    <x:t>4.1.2</x:t>
  </x:si>
  <x:si>
    <x:t>6.1.1</x:t>
  </x:si>
  <x:si>
    <x:t>2.4.5</x:t>
  </x:si>
  <x:si>
    <x:t>t_days</x:t>
  </x:si>
  <x:si>
    <x:t>아키텍처 설계</x:t>
  </x:si>
  <x:si>
    <x:t>4.6.2</x:t>
  </x:si>
  <x:si>
    <x:t>1.1.2</x:t>
  </x:si>
  <x:si>
    <x:t>2.3.4</x:t>
  </x:si>
  <x:si>
    <x:t>2.1.1</x:t>
  </x:si>
  <x:si>
    <x:t>3.2.1.4</x:t>
  </x:si>
  <x:si>
    <x:t>3.2.1.5</x:t>
  </x:si>
  <x:si>
    <x:t>3.3.1</x:t>
  </x:si>
  <x:si>
    <x:t>4.6.1</x:t>
  </x:si>
  <x:si>
    <x:t>보안 테스트</x:t>
  </x:si>
  <x:si>
    <x:t>기술 분석</x:t>
  </x:si>
  <x:si>
    <x:t>4.5.3</x:t>
  </x:si>
  <x:si>
    <x:t>2.5.2</x:t>
  </x:si>
  <x:si>
    <x:t>3.2.2</x:t>
  </x:si>
  <x:si>
    <x:t>2.5.1</x:t>
  </x:si>
  <x:si>
    <x:t>1.1.5</x:t>
  </x:si>
  <x:si>
    <x:t>2.5.3</x:t>
  </x:si>
  <x:si>
    <x:t>6.1.3</x:t>
  </x:si>
  <x:si>
    <x:t>4.5.1</x:t>
  </x:si>
  <x:si>
    <x:t>5.1.1</x:t>
  </x:si>
  <x:si>
    <x:t>2.5.4</x:t>
  </x:si>
  <x:si>
    <x:t>2.4.3</x:t>
  </x:si>
  <x:si>
    <x:t>4.3.2</x:t>
  </x:si>
  <x:si>
    <x:t>2.4.8</x:t>
  </x:si>
  <x:si>
    <x:t>4.2.3</x:t>
  </x:si>
  <x:si>
    <x:t>4.5.2</x:t>
  </x:si>
  <x:si>
    <x:t>2.4.4</x:t>
  </x:si>
  <x:si>
    <x:t>6.2.3</x:t>
  </x:si>
  <x:si>
    <x:t>요구사항 분석</x:t>
  </x:si>
  <x:si>
    <x:t>3.1.2.2</x:t>
  </x:si>
  <x:si>
    <x:t>시스템 배포</x:t>
  </x:si>
  <x:si>
    <x:t>4.2.1</x:t>
  </x:si>
  <x:si>
    <x:t>통합 테스트</x:t>
  </x:si>
  <x:si>
    <x:t>시연 영상</x:t>
  </x:si>
  <x:si>
    <x:t>3.2.1.1</x:t>
  </x:si>
  <x:si>
    <x:t>3.1.3.1</x:t>
  </x:si>
  <x:si>
    <x:t>3.1.1.2</x:t>
  </x:si>
  <x:si>
    <x:t>영상 편집</x:t>
  </x:si>
  <x:si>
    <x:t>4.4.1</x:t>
  </x:si>
  <x:si>
    <x:t>1.1.6</x:t>
  </x:si>
  <x:si>
    <x:t>6.2.2</x:t>
  </x:si>
  <x:si>
    <x:t>3.1.1</x:t>
  </x:si>
  <x:si>
    <x:t>3.2.1.2</x:t>
  </x:si>
  <x:si>
    <x:t>1.1.7</x:t>
  </x:si>
  <x:si>
    <x:t>3.2.1.3</x:t>
  </x:si>
  <x:si>
    <x:t>3.1.2.1</x:t>
  </x:si>
  <x:si>
    <x:t>2.4.7</x:t>
  </x:si>
  <x:si>
    <x:t>백엔드 개발</x:t>
  </x:si>
  <x:si>
    <x:t>3.1.2</x:t>
  </x:si>
  <x:si>
    <x:t>6.2.1</x:t>
  </x:si>
  <x:si>
    <x:t>3.1.4.1</x:t>
  </x:si>
  <x:si>
    <x:t>3.1.3.2</x:t>
  </x:si>
  <x:si>
    <x:t>3.1.3</x:t>
  </x:si>
  <x:si>
    <x:t>3.1.4</x:t>
  </x:si>
  <x:si>
    <x:t>budge</x:t>
  </x:si>
  <x:si>
    <x:t>6.1.2</x:t>
  </x:si>
  <x:si>
    <x:t>2.3.3</x:t>
  </x:si>
  <x:si>
    <x:t>days</x:t>
  </x:si>
  <x:si>
    <x:t>모듈 설계</x:t>
  </x:si>
  <x:si>
    <x:t>5.2.1</x:t>
  </x:si>
  <x:si>
    <x:t>시스템 테스트</x:t>
  </x:si>
  <x:si>
    <x:t>1.3.1</x:t>
  </x:si>
  <x:si>
    <x:t>1.1.1</x:t>
  </x:si>
  <x:si>
    <x:t>2.1.3</x:t>
  </x:si>
  <x:si>
    <x:t>1.2.3</x:t>
  </x:si>
  <x:si>
    <x:t>2.4.1</x:t>
  </x:si>
  <x:si>
    <x:t>인수 테스트</x:t>
  </x:si>
  <x:si>
    <x:t>1.2.2</x:t>
  </x:si>
  <x:si>
    <x:t>단위테스트</x:t>
  </x:si>
  <x:si>
    <x:t>complete_days</x:t>
  </x:si>
  <x:si>
    <x:t>운송 완료 후 정산 API</x:t>
  </x:si>
  <x:si>
    <x:t>API 게이트웨이 모듈</x:t>
  </x:si>
  <x:si>
    <x:t>progress_rate</x:t>
  </x:si>
  <x:si>
    <x:t>화물/차량 관련 API</x:t>
  </x:si>
  <x:si>
    <x:t>t_complete_days</x:t>
  </x:si>
  <x:si>
    <x:t>실시간 모니터링 및 유지보수</x:t>
  </x:si>
  <x:si>
    <x:t>실시간 알림 UI 처리</x:t>
  </x:si>
  <x:si>
    <x:t>UI/UX 기능 테스트</x:t>
  </x:si>
  <x:si>
    <x:t>화면 구성 및 정보 구조</x:t>
  </x:si>
  <x:si>
    <x:t>네트워크 및 서버 환경 분석</x:t>
  </x:si>
  <x:si>
    <x:t>AI 모델 성능 테스트</x:t>
  </x:si>
  <x:si>
    <x:t>사용자 시나리오 테스트</x:t>
  </x:si>
  <x:si>
    <x:t>AI 모델 요구사항 분석</x:t>
  </x:si>
  <x:si>
    <x:t>서버 및 데이터베이스 배포</x:t>
  </x:si>
  <x:si>
    <x:t>API 및 DB 단위 테스트</x:t>
  </x:si>
  <x:si>
    <x:t>□ CARGO_AI WBS</x:t>
  </x:si>
  <x:si>
    <x:t>사용자 매뉴얼/가이드북 제작</x:t>
  </x:si>
  <x:si>
    <x:t>알림/푸시 연동 테스트</x:t>
  </x:si>
  <x:si>
    <x:t xml:space="preserve">API 서버 및 인증/보안
</x:t>
  </x:si>
  <x:si>
    <x:t>complete_rate</x:t>
  </x:si>
  <x:si>
    <x:t>접근 제어 및 권한 점검</x:t>
  </x:si>
  <x:si>
    <x:t>사용자 요구사항 분석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</x:si>
</x:sst>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mmm"/>
    <x:numFmt numFmtId="165" formatCode="d"/>
  </x:numFmts>
  <x:fonts count="15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5"/>
      <x:color rgb="ff0e2841"/>
      <x:b val="1"/>
    </x:font>
    <x:font>
      <x:name val="맑은 고딕"/>
      <x:sz val="11"/>
      <x:color rgb="ff0e2841"/>
      <x:b val="1"/>
    </x:font>
    <x:font>
      <x:name val="돋움"/>
      <x:sz val="11"/>
      <x:color rgb="ff000000"/>
    </x:font>
    <x:font>
      <x:name val="맑은 고딕"/>
      <x:sz val="11"/>
      <x:color rgb="ffffffff"/>
    </x:font>
    <x:font>
      <x:name val="맑은 고딕"/>
      <x:sz val="10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595959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59595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strike val="1"/>
          <hs:strikeoutShape val="solid"/>
          <hs:strikeoutType val="1"/>
          <hs:strikeout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strike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22"/>
          <x:color rgb="ff0070c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22"/>
          <x:color rgb="ff0070c0"/>
          <x:b val="1"/>
        </x:font>
      </mc:Fallback>
    </mc:AlternateContent>
  </x:fonts>
  <x:fills count="13">
    <x:fill>
      <x:patternFill patternType="none"/>
    </x:fill>
    <x:fill>
      <x:patternFill patternType="gray125"/>
    </x:fill>
    <x:fill>
      <x:patternFill patternType="solid">
        <x:fgColor rgb="ffaeaeae"/>
      </x:patternFill>
    </x:fill>
    <x:fill>
      <x:patternFill patternType="solid">
        <x:fgColor rgb="ffe97132"/>
      </x:patternFill>
    </x:fill>
    <x:fill>
      <x:patternFill patternType="solid">
        <x:fgColor rgb="ffd1d1d1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rgb="ffdaf2d0"/>
      </x:patternFill>
    </x:fill>
    <x:fill>
      <x:patternFill patternType="solid">
        <x:fgColor rgb="ffff8800"/>
      </x:patternFill>
    </x:fill>
    <x:fill>
      <x:patternFill patternType="solid">
        <x:fgColor rgb="ff6600ff"/>
      </x:patternFill>
    </x:fill>
    <x:fill>
      <x:patternFill patternType="solid">
        <x:fgColor rgb="ff0070c0"/>
      </x:patternFill>
    </x:fill>
    <x:fill>
      <x:patternFill patternType="solid">
        <x:fgColor rgb="ff747474"/>
      </x:patternFill>
    </x:fill>
    <x:fill>
      <x:patternFill patternType="solid">
        <x:fgColor rgb="ff3a3a3a"/>
      </x:patternFill>
    </x:fill>
  </x:fills>
  <x:borders count="63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thick">
        <x:color rgb="ff156082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medium">
        <x:color rgb="ff47b1e0"/>
      </x:bottom>
      <x:diagonal>
        <x:color indexed="64"/>
      </x:diagonal>
    </x:border>
    <x:border diagonalUp="1" diagonalDown="1">
      <x:left>
        <x:color indexed="64"/>
      </x:left>
      <x:right style="thin">
        <x:color rgb="ffffffff"/>
      </x:right>
      <x:top style="thin">
        <x:color rgb="ffffffff"/>
      </x:top>
      <x:bottom style="thin">
        <x:color rgb="ffffffff"/>
      </x:bottom>
      <x:diagonal>
        <x:color indexed="64"/>
      </x:diagonal>
    </x:border>
    <x:border diagonalUp="1" diagonalDown="1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>
        <x:color indexed="64"/>
      </x:diagonal>
    </x:border>
    <x:border diagonalUp="1" diagonalDown="1"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>
        <x:color indexed="64"/>
      </x:diagonal>
    </x:border>
    <x:border diagonalUp="1" diagonalDown="1">
      <x:left>
        <x:color indexed="64"/>
      </x:left>
      <x:right style="thin">
        <x:color rgb="ff82caec"/>
      </x:right>
      <x:top style="thin">
        <x:color rgb="ff82caec"/>
      </x:top>
      <x:bottom>
        <x:color indexed="64"/>
      </x:bottom>
      <x:diagonal>
        <x:color indexed="64"/>
      </x:diagonal>
    </x:border>
    <x:border diagonalUp="1" diagonalDown="1">
      <x:left style="thin">
        <x:color rgb="ffd9d9d9"/>
      </x:left>
      <x:right style="thin">
        <x:color rgb="ffd9d9d9"/>
      </x:right>
      <x:top style="thin">
        <x:color rgb="ffd9d9d9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rgb="ffffffff"/>
      </x:right>
      <x:top style="thin">
        <x:color rgb="ffffffff"/>
      </x:top>
      <x:bottom>
        <x:color indexed="64"/>
      </x:bottom>
      <x:diagonal>
        <x:color indexed="64"/>
      </x:diagonal>
    </x:border>
    <x:border diagonalUp="1" diagonalDown="1">
      <x:left style="thin">
        <x:color rgb="ffb4b4b4"/>
      </x:left>
      <x:right style="thin">
        <x:color rgb="ffb4b4b4"/>
      </x:right>
      <x:top style="thin">
        <x:color rgb="ffb4b4b4"/>
      </x:top>
      <x:bottom style="thin">
        <x:color rgb="ffb4b4b4"/>
      </x:bottom>
      <x:diagonal>
        <x:color indexed="64"/>
      </x:diagonal>
    </x:border>
    <x:border diagonalUp="1" diagonalDown="1">
      <x:left style="thin">
        <x:color rgb="ffb4b4b4"/>
      </x:left>
      <x:right>
        <x:color indexed="64"/>
      </x:right>
      <x:top style="thin">
        <x:color rgb="ffb4b4b4"/>
      </x:top>
      <x:bottom style="thin">
        <x:color rgb="ffb4b4b4"/>
      </x:bottom>
      <x:diagonal>
        <x:color indexed="64"/>
      </x:diagonal>
    </x:border>
    <x:border diagonalUp="1" diagonalDown="1">
      <x:left style="thin">
        <x:color rgb="ffb4b4b4"/>
      </x:left>
      <x:right style="thin">
        <x:color rgb="ffffffff"/>
      </x:right>
      <x:top style="thin">
        <x:color rgb="ffb4b4b4"/>
      </x:top>
      <x:bottom style="thin">
        <x:color rgb="ffb4b4b4"/>
      </x:bottom>
      <x:diagonal>
        <x:color indexed="64"/>
      </x:diagonal>
    </x:border>
    <x:border diagonalUp="1" diagonalDown="1">
      <x:left style="thin">
        <x:color rgb="ffffffff"/>
      </x:left>
      <x:right style="thin">
        <x:color rgb="ffffffff"/>
      </x:right>
      <x:top style="thin">
        <x:color rgb="ffb4b4b4"/>
      </x:top>
      <x:bottom style="thin">
        <x:color rgb="ffb4b4b4"/>
      </x:bottom>
      <x:diagonal>
        <x:color indexed="64"/>
      </x:diagonal>
    </x:border>
    <x:border diagonalUp="1" diagonalDown="1">
      <x:left style="thin">
        <x:color rgb="ffb4b4b4"/>
      </x:left>
      <x:right style="thin">
        <x:color rgb="ffffffff"/>
      </x:right>
      <x:top style="thin">
        <x:color rgb="ffb4b4b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ffffff"/>
      </x:left>
      <x:right style="thin">
        <x:color rgb="ffffffff"/>
      </x:right>
      <x:top style="thin">
        <x:color rgb="ffb4b4b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b4b4b4"/>
      </x:left>
      <x:right style="thin">
        <x:color rgb="ffb4b4b4"/>
      </x:right>
      <x:top style="thin">
        <x:color rgb="ffb4b4b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ffffff"/>
      </x:left>
      <x:right style="thin">
        <x:color rgb="ffffffff"/>
      </x:right>
      <x:top>
        <x:color indexed="64"/>
      </x:top>
      <x:bottom style="thin">
        <x:color rgb="ffffffff"/>
      </x:bottom>
      <x:diagonal>
        <x:color indexed="64"/>
      </x:diagonal>
    </x:border>
    <x:border diagonalUp="1" diagonalDown="1">
      <x:left style="thin">
        <x:color rgb="ffffffff"/>
      </x:left>
      <x:right>
        <x:color indexed="64"/>
      </x:right>
      <x:top>
        <x:color indexed="64"/>
      </x:top>
      <x:bottom style="thin">
        <x:color rgb="ffffffff"/>
      </x:bottom>
      <x:diagonal>
        <x:color indexed="64"/>
      </x:diagonal>
    </x:border>
    <x:border diagonalUp="1" diagonalDown="1">
      <x:left style="thin">
        <x:color rgb="ffffffff"/>
      </x:left>
      <x:right>
        <x:color indexed="64"/>
      </x:right>
      <x:top style="thin">
        <x:color rgb="ffffffff"/>
      </x:top>
      <x:bottom style="thin">
        <x:color rgb="ffffffff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rgb="ffffffff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ffffff"/>
      </x:left>
      <x:right style="thin">
        <x:color rgb="ffffffff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ffffff"/>
      </x:left>
      <x:right style="thin">
        <x:color rgb="ffffffff"/>
      </x:right>
      <x:top style="thin">
        <x:color rgb="ffffffff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rgb="ffffffff"/>
      </x:right>
      <x:top style="thin">
        <x:color rgb="ffffffff"/>
      </x:top>
      <x:bottom style="thin">
        <x:color rgb="ffffffff"/>
      </x:bottom>
      <x:diagonal>
        <x:color indexed="64"/>
      </x:diagonal>
    </x:border>
    <x:border diagonalUp="1" diagonalDown="1">
      <x:left style="thin">
        <x:color indexed="64"/>
      </x:left>
      <x:right>
        <x:color indexed="64"/>
      </x:right>
      <x:top style="thin">
        <x:color rgb="ffb4b4b4"/>
      </x:top>
      <x:bottom style="thin">
        <x:color rgb="ffb4b4b4"/>
      </x:bottom>
      <x:diagonal>
        <x:color indexed="64"/>
      </x:diagonal>
    </x:border>
    <x:border diagonalUp="1" diagonalDown="1">
      <x:left style="thin">
        <x:color indexed="64"/>
      </x:left>
      <x:right>
        <x:color indexed="64"/>
      </x:right>
      <x:top style="thin">
        <x:color rgb="ffb4b4b4"/>
      </x:top>
      <x:bottom style="thin"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rgb="ffffffff"/>
      </x:right>
      <x:top>
        <x:color indexed="64"/>
      </x:top>
      <x:bottom style="thin">
        <x:color rgb="ffffffff"/>
      </x:bottom>
      <x:diagonal>
        <x:color indexed="64"/>
      </x:diagonal>
    </x:border>
    <x:border diagonalUp="1" diagonalDown="1">
      <x:left style="thin">
        <x:color indexed="64"/>
      </x:left>
      <x:right>
        <x:color indexed="64"/>
      </x:right>
      <x:top style="thin"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ffffff"/>
      </x:left>
      <x:right>
        <x:color indexed="64"/>
      </x:right>
      <x:top style="thin">
        <x:color rgb="ffb4b4b4"/>
      </x:top>
      <x:bottom style="thin">
        <x:color rgb="ffb4b4b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b4b4b4"/>
      </x:top>
      <x:bottom style="thin">
        <x:color rgb="ffb4b4b4"/>
      </x:bottom>
      <x:diagonal>
        <x:color indexed="64"/>
      </x:diagonal>
    </x:border>
    <x:border diagonalUp="1" diagonalDown="1">
      <x:left>
        <x:color indexed="64"/>
      </x:left>
      <x:right style="thin">
        <x:color rgb="ffb4b4b4"/>
      </x:right>
      <x:top style="thin">
        <x:color rgb="ffb4b4b4"/>
      </x:top>
      <x:bottom style="thin">
        <x:color rgb="ffb4b4b4"/>
      </x:bottom>
      <x:diagonal>
        <x:color indexed="64"/>
      </x:diagonal>
    </x:border>
    <x:border diagonalUp="1" diagonalDown="1">
      <x:left style="thin">
        <x:color rgb="ff82caec"/>
      </x:left>
      <x:right style="thin">
        <x:color rgb="ff82caec"/>
      </x:right>
      <x:top style="thin">
        <x:color rgb="ff82caec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>
        <x:color indexed="64"/>
      </x:right>
      <x:top style="thin">
        <x:color indexed="64"/>
      </x:top>
      <x:bottom style="thin">
        <x:color rgb="ffffffff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indexed="64"/>
      </x:top>
      <x:bottom style="thin">
        <x:color rgb="ffffffff"/>
      </x:bottom>
      <x:diagonal>
        <x:color indexed="64"/>
      </x:diagonal>
    </x:border>
    <x:border diagonalUp="1" diagonalDown="1">
      <x:left style="thin">
        <x:color indexed="64"/>
      </x:left>
      <x:right style="thin">
        <x:color rgb="ffb4b4b4"/>
      </x:right>
      <x:top style="thin">
        <x:color rgb="ffb4b4b4"/>
      </x:top>
      <x:bottom style="thin">
        <x:color rgb="ffffffff"/>
      </x:bottom>
      <x:diagonal>
        <x:color indexed="64"/>
      </x:diagonal>
    </x:border>
    <x:border diagonalUp="1" diagonalDown="1">
      <x:left style="thin">
        <x:color indexed="64"/>
      </x:left>
      <x:right>
        <x:color indexed="64"/>
      </x:right>
      <x:top style="thin">
        <x:color rgb="ffffffff"/>
      </x:top>
      <x:bottom>
        <x:color indexed="64"/>
      </x:bottom>
      <x:diagonal>
        <x:color indexed="64"/>
      </x:diagonal>
    </x:border>
    <x:border diagonalUp="1" diagonalDown="1">
      <x:left style="thin">
        <x:color rgb="ffb4b4b4"/>
      </x:left>
      <x:right style="thin">
        <x:color rgb="fff0f0f0"/>
      </x:right>
      <x:top style="thin">
        <x:color rgb="ffb4b4b4"/>
      </x:top>
      <x:bottom>
        <x:color indexed="64"/>
      </x:bottom>
      <x:diagonal>
        <x:color indexed="64"/>
      </x:diagonal>
    </x:border>
    <x:border diagonalUp="1" diagonalDown="1">
      <x:left style="thin">
        <x:color rgb="fff0f0f0"/>
      </x:left>
      <x:right style="thin">
        <x:color rgb="fff0f0f0"/>
      </x:right>
      <x:top style="thin">
        <x:color rgb="ffb4b4b4"/>
      </x:top>
      <x:bottom>
        <x:color indexed="64"/>
      </x:bottom>
      <x:diagonal>
        <x:color indexed="64"/>
      </x:diagonal>
    </x:border>
    <x:border diagonalUp="1" diagonalDown="1">
      <x:left style="thin">
        <x:color rgb="fff0f0f0"/>
      </x:left>
      <x:right style="thin">
        <x:color rgb="ffb4b4b4"/>
      </x:right>
      <x:top style="thin">
        <x:color rgb="ffb4b4b4"/>
      </x:top>
      <x:bottom>
        <x:color indexed="64"/>
      </x:bottom>
      <x:diagonal>
        <x:color indexed="64"/>
      </x:diagonal>
    </x:border>
    <x:border diagonalUp="1" diagonalDown="1">
      <x:left style="thin">
        <x:color rgb="ffb4b4b4"/>
      </x:left>
      <x:right style="thin">
        <x:color rgb="ffffffff"/>
      </x:right>
      <x:top style="thin">
        <x:color rgb="ffffffff"/>
      </x:top>
      <x:bottom>
        <x:color indexed="64"/>
      </x:bottom>
      <x:diagonal>
        <x:color indexed="64"/>
      </x:diagonal>
    </x:border>
    <x:border diagonalUp="1" diagonalDown="1">
      <x:left style="thin">
        <x:color rgb="ffffffff"/>
      </x:left>
      <x:right style="thin">
        <x:color rgb="ffb4b4b4"/>
      </x:right>
      <x:top style="thin">
        <x:color rgb="ffffffff"/>
      </x:top>
      <x:bottom>
        <x:color indexed="64"/>
      </x:bottom>
      <x:diagonal>
        <x:color indexed="64"/>
      </x:diagonal>
    </x:border>
    <x:border diagonalUp="1" diagonalDown="1">
      <x:left style="thin">
        <x:color rgb="ffb4b4b4"/>
      </x:left>
      <x:right style="thin">
        <x:color rgb="ffb4b4b4"/>
      </x:right>
      <x:top style="thin">
        <x:color rgb="ffb4b4b4"/>
      </x:top>
      <x:bottom style="thin">
        <x:color rgb="ffffffff"/>
      </x:bottom>
      <x:diagonal>
        <x:color indexed="64"/>
      </x:diagonal>
    </x:border>
    <x:border diagonalUp="1" diagonalDown="1">
      <x:left>
        <x:color indexed="64"/>
      </x:left>
      <x:right style="thin">
        <x:color rgb="ffb4b4b4"/>
      </x:right>
      <x:top style="thin">
        <x:color rgb="ffffffff"/>
      </x:top>
      <x:bottom>
        <x:color indexed="64"/>
      </x:bottom>
      <x:diagonal>
        <x:color indexed="64"/>
      </x:diagonal>
    </x:border>
    <x:border diagonalUp="1" diagonalDown="1">
      <x:left style="thin">
        <x:color rgb="ffb4b4b4"/>
      </x:left>
      <x:right style="thin">
        <x:color rgb="ffb4b4b4"/>
      </x:right>
      <x:top style="thin">
        <x:color rgb="ffffffff"/>
      </x:top>
      <x:bottom>
        <x:color indexed="64"/>
      </x:bottom>
      <x:diagonal>
        <x:color indexed="64"/>
      </x:diagonal>
    </x:border>
    <x:border diagonalUp="1" diagonalDown="1">
      <x:left style="thin">
        <x:color rgb="ffb4b4b4"/>
      </x:left>
      <x:right style="thin">
        <x:color rgb="ff82caec"/>
      </x:right>
      <x:top style="thin">
        <x:color rgb="ffb4b4b4"/>
      </x:top>
      <x:bottom style="thin">
        <x:color rgb="ffffffff"/>
      </x:bottom>
      <x:diagonal>
        <x:color indexed="64"/>
      </x:diagonal>
    </x:border>
    <x:border diagonalUp="1" diagonalDown="1">
      <x:left style="thin">
        <x:color rgb="ffb4b4b4"/>
      </x:left>
      <x:right style="thin">
        <x:color rgb="ff82caec"/>
      </x:right>
      <x:top style="thin">
        <x:color rgb="ffffffff"/>
      </x:top>
      <x:bottom>
        <x:color indexed="64"/>
      </x:bottom>
      <x:diagonal>
        <x:color indexed="64"/>
      </x:diagonal>
    </x:border>
    <x:border diagonalUp="1" diagonalDown="1">
      <x:left style="thin">
        <x:color rgb="ffd9d9d9"/>
      </x:left>
      <x:right>
        <x:color indexed="64"/>
      </x:right>
      <x:top style="thin">
        <x:color rgb="ffd9d9d9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d9d9d9"/>
      </x:top>
      <x:bottom style="thin">
        <x:color rgb="ffd9d9d9"/>
      </x:bottom>
      <x:diagonal>
        <x:color indexed="64"/>
      </x:diagonal>
    </x:border>
    <x:border diagonalUp="1" diagonalDown="1">
      <x:left>
        <x:color indexed="64"/>
      </x:left>
      <x:right style="thin">
        <x:color rgb="ffd9d9d9"/>
      </x:right>
      <x:top style="thin">
        <x:color rgb="ffd9d9d9"/>
      </x:top>
      <x:bottom style="thin">
        <x:color rgb="ffd9d9d9"/>
      </x:bottom>
      <x:diagonal>
        <x:color indexed="64"/>
      </x:diagonal>
    </x:border>
    <x:border diagonalUp="1" diagonalDown="1">
      <x:left style="thin">
        <x:color rgb="ffd9d9d9"/>
      </x:left>
      <x:right>
        <x:color indexed="64"/>
      </x:right>
      <x:top style="thin">
        <x:color rgb="ffd9d9d9"/>
      </x:top>
      <x:bottom style="thin">
        <x:color rgb="ffd9d9d9"/>
      </x:bottom>
      <x:diagonal>
        <x:color indexed="64"/>
      </x:diagonal>
    </x:border>
    <x:border diagonalUp="1" diagonalDown="1">
      <x:left style="thin">
        <x:color rgb="ff82caec"/>
      </x:left>
      <x:right>
        <x:color indexed="64"/>
      </x:right>
      <x:top style="thin">
        <x:color rgb="ffb4b4b4"/>
      </x:top>
      <x:bottom style="thin">
        <x:color rgb="ff82caec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b4b4b4"/>
      </x:top>
      <x:bottom style="thin">
        <x:color rgb="ff82caec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b4b4b4"/>
      </x:top>
      <x:bottom style="thin">
        <x:color rgb="ffffffff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ffffff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rgb="ff82caec"/>
      </x:right>
      <x:top style="thin">
        <x:color rgb="ffb4b4b4"/>
      </x:top>
      <x:bottom style="thin">
        <x:color rgb="ff82caec"/>
      </x:bottom>
      <x:diagonal>
        <x:color indexed="64"/>
      </x:diagonal>
    </x:border>
    <x:border diagonalUp="1" diagonalDown="1">
      <x:left style="thin">
        <x:color rgb="ffffffff"/>
      </x:left>
      <x:right>
        <x:color indexed="64"/>
      </x:right>
      <x:top>
        <x:color indexed="64"/>
      </x:top>
      <x:bottom style="thin">
        <x:color rgb="ffb4b4b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thin">
        <x:color rgb="ffb4b4b4"/>
      </x:bottom>
      <x:diagonal>
        <x:color indexed="64"/>
      </x:diagonal>
    </x:border>
    <x:border diagonalUp="1" diagonalDown="1">
      <x:left>
        <x:color indexed="64"/>
      </x:left>
      <x:right style="thin">
        <x:color rgb="ffb4b4b4"/>
      </x:right>
      <x:top>
        <x:color indexed="64"/>
      </x:top>
      <x:bottom style="thin">
        <x:color rgb="ffb4b4b4"/>
      </x:bottom>
      <x:diagonal>
        <x:color indexed="64"/>
      </x:diagonal>
    </x:border>
    <x:border diagonalUp="1" diagonalDown="1">
      <x:left style="thin">
        <x:color rgb="ffffffff"/>
      </x:left>
      <x:right>
        <x:color indexed="64"/>
      </x:right>
      <x:top style="thin">
        <x:color rgb="ffb4b4b4"/>
      </x:top>
      <x:bottom style="thin"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rgb="ffb4b4b4"/>
      </x:top>
      <x:bottom style="thin">
        <x:color indexed="64"/>
      </x:bottom>
      <x:diagonal>
        <x:color indexed="64"/>
      </x:diagonal>
    </x:border>
    <x:border diagonalUp="1" diagonalDown="1">
      <x:left>
        <x:color indexed="64"/>
      </x:left>
      <x:right style="thin">
        <x:color rgb="ffb4b4b4"/>
      </x:right>
      <x:top style="thin">
        <x:color rgb="ffb4b4b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d9d9d9"/>
      </x:left>
      <x:right>
        <x:color indexed="64"/>
      </x:right>
      <x:top style="thin">
        <x:color indexed="64"/>
      </x:top>
      <x:bottom style="thin">
        <x:color rgb="ffd9d9d9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 style="thin">
        <x:color indexed="64"/>
      </x:top>
      <x:bottom style="thin">
        <x:color rgb="ffd9d9d9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41" fontId="0" fillId="0" borderId="0">
      <x:alignment horizontal="general" vertical="center"/>
    </x:xf>
    <x:xf numFmtId="9" fontId="0" fillId="0" borderId="0">
      <x:alignment horizontal="general" vertical="center"/>
    </x:xf>
    <x:xf numFmtId="0" fontId="6" fillId="0" borderId="1">
      <x:alignment horizontal="general" vertical="center"/>
    </x:xf>
    <x:xf numFmtId="0" fontId="7" fillId="0" borderId="2">
      <x:alignment horizontal="general" vertical="center"/>
    </x:xf>
    <x:xf numFmtId="0" fontId="8" fillId="0" borderId="0" applyNumberFormat="1" applyFill="1" applyBorder="1" applyAlignment="1" applyProtection="1">
      <x:alignment horizontal="general" vertical="center"/>
    </x:xf>
    <x:xf numFmtId="0" fontId="8" fillId="0" borderId="0" applyNumberFormat="1" applyFill="1" applyBorder="1" applyAlignment="1" applyProtection="1">
      <x:alignment horizontal="general" vertical="center"/>
    </x:xf>
    <x:xf numFmtId="0" fontId="8" fillId="0" borderId="0" applyNumberFormat="1" applyFill="1" applyBorder="1" applyAlignment="1" applyProtection="1">
      <x:alignment horizontal="general" vertical="center"/>
    </x:xf>
    <x:xf numFmtId="0" fontId="8" fillId="0" borderId="0" applyNumberFormat="1" applyFill="1" applyBorder="1" applyAlignment="1" applyProtection="1">
      <x:alignment horizontal="general" vertical="center"/>
    </x:xf>
    <x:xf numFmtId="0" fontId="8" fillId="0" borderId="0" applyNumberFormat="1" applyFill="1" applyBorder="1" applyAlignment="1" applyProtection="1">
      <x:alignment horizontal="general" vertical="center"/>
    </x:xf>
    <x:xf numFmtId="0" fontId="8" fillId="0" borderId="0" applyNumberFormat="1" applyFill="1" applyBorder="1" applyAlignment="1" applyProtection="1">
      <x:alignment horizontal="general" vertical="center"/>
    </x:xf>
    <x:xf numFmtId="0" fontId="8" fillId="0" borderId="0" applyNumberFormat="1" applyFill="1" applyBorder="1" applyAlignment="1" applyProtection="1">
      <x:alignment horizontal="general" vertical="center"/>
    </x:xf>
    <x:xf numFmtId="0" fontId="8" fillId="0" borderId="0" applyNumberFormat="1" applyFill="1" applyBorder="1" applyAlignment="1" applyProtection="1">
      <x:alignment horizontal="general" vertical="center"/>
    </x:xf>
    <x:xf numFmtId="0" fontId="8" fillId="0" borderId="0" applyNumberFormat="1" applyFill="1" applyBorder="1" applyAlignment="1" applyProtection="1">
      <x:alignment horizontal="general" vertical="center"/>
    </x:xf>
    <x:xf numFmtId="0" fontId="8" fillId="0" borderId="0" applyNumberFormat="1" applyFill="1" applyBorder="1" applyAlignment="1" applyProtection="1">
      <x:alignment horizontal="general" vertical="center"/>
    </x:xf>
  </x:cellStyleXfs>
  <x:cellXfs count="145">
    <x:xf numFmtId="0" fontId="0" fillId="0" borderId="0" xfId="0" applyNumberFormat="1">
      <x:alignment horizontal="general" vertical="center"/>
    </x:xf>
    <x:xf numFmtId="0" fontId="0" fillId="0" borderId="3" xfId="0" applyNumberFormat="1" applyBorder="1">
      <x:alignment horizontal="general" vertical="center"/>
    </x:xf>
    <x:xf numFmtId="0" fontId="0" fillId="0" borderId="4" xfId="0" applyNumberFormat="1" applyBorder="1">
      <x:alignment horizontal="general" vertical="center"/>
    </x:xf>
    <x:xf numFmtId="49" fontId="0" fillId="0" borderId="4" xfId="0" applyNumberForma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4" fontId="0" fillId="0" borderId="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0" borderId="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4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4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0" fillId="0" borderId="4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0" fillId="0" borderId="4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4" xfId="1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4" xfId="1" applyNumberFormat="1" applyFont="1" applyBorder="1" applyAlignment="1">
          <x:alignment horizontal="right" vertical="center"/>
        </x:xf>
      </mc:Fallback>
    </mc:AlternateContent>
    <x:xf numFmtId="0" fontId="0" fillId="0" borderId="4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9" fillId="2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10" fillId="3" borderId="6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10" fillId="3" borderId="6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1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1" fillId="4" borderId="7" xfId="0" applyNumberFormat="1" applyFont="1" applyFill="1" applyBorder="1" applyAlignment="1">
          <x:alignment horizontal="center" vertical="center"/>
        </x:xf>
      </mc:Fallback>
    </mc:AlternateContent>
    <x:xf numFmtId="0" fontId="0" fillId="0" borderId="8" xfId="0" applyNumberFormat="1" applyBorder="1">
      <x:alignment horizontal="general" vertical="center"/>
    </x:xf>
    <x:xf numFmtId="0" fontId="12" fillId="5" borderId="9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12" fillId="5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2" fillId="5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12" fillId="5" borderId="9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12" fillId="5" borderId="9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5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5" borderId="9" xfId="0" applyNumberFormat="1" applyFont="1" applyFill="1" applyBorder="1" applyAlignment="1">
          <x:alignment horizontal="center" vertical="center"/>
        </x:xf>
      </mc:Fallback>
    </mc:AlternateContent>
    <x:xf numFmtId="0" fontId="0" fillId="6" borderId="10" xfId="0" applyNumberFormat="1" applyFont="1" applyFill="1" applyBorder="1">
      <x:alignment horizontal="general" vertical="center"/>
    </x:xf>
    <x:xf numFmtId="0" fontId="0" fillId="5" borderId="9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0" fillId="5" borderId="9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5" borderId="9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0" fillId="5" borderId="9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0" fillId="5" borderId="9" xfId="1" applyNumberFormat="1" applyFont="1" applyFill="1" applyBorder="1" applyAlignment="1">
          <x:alignment horizontal="center" vertical="center"/>
        </x:xf>
      </mc:Fallback>
    </mc:AlternateContent>
    <x:xf numFmtId="0" fontId="0" fillId="6" borderId="11" xfId="0" applyNumberFormat="1" applyFont="1" applyFill="1" applyBorder="1">
      <x:alignment horizontal="general" vertical="center"/>
    </x:xf>
    <x:xf numFmtId="0" fontId="0" fillId="6" borderId="12" xfId="0" applyNumberFormat="1" applyFont="1" applyFill="1" applyBorder="1">
      <x:alignment horizontal="general" vertical="center"/>
    </x:xf>
    <x:xf numFmtId="0" fontId="0" fillId="6" borderId="9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0" fillId="6" borderId="9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6" borderId="9" xfId="1" applyNumberFormat="1" applyFont="1" applyFill="1" applyBorder="1" applyAlignment="1">
          <x:alignment horizontal="center" vertical="center"/>
        </x:xf>
      </mc:Fallback>
    </mc:AlternateContent>
    <x:xf numFmtId="0" fontId="0" fillId="6" borderId="13" xfId="0" applyNumberFormat="1" applyFont="1" applyFill="1" applyBorder="1">
      <x:alignment horizontal="general" vertical="center"/>
    </x:xf>
    <x:xf numFmtId="0" fontId="0" fillId="6" borderId="14" xfId="0" applyNumberFormat="1" applyFont="1" applyFill="1" applyBorder="1">
      <x:alignment horizontal="general" vertical="center"/>
    </x:xf>
    <x:xf numFmtId="0" fontId="0" fillId="6" borderId="15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0" fillId="6" borderId="15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6" borderId="15" xfId="1" applyNumberFormat="1" applyFont="1" applyFill="1" applyBorder="1" applyAlignment="1">
          <x:alignment horizontal="center" vertical="center"/>
        </x:xf>
      </mc:Fallback>
    </mc:AlternateContent>
    <x:xf numFmtId="0" fontId="0" fillId="0" borderId="16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0" fillId="0" borderId="16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0" borderId="16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6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6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0" fillId="0" borderId="16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0" fillId="0" borderId="16" xfId="1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6" xfId="1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6" xfId="1" applyNumberFormat="1" applyFont="1" applyBorder="1" applyAlignment="1">
          <x:alignment horizontal="right" vertical="center"/>
        </x:xf>
      </mc:Fallback>
    </mc:AlternateContent>
    <x:xf numFmtId="0" fontId="0" fillId="0" borderId="17" xfId="2" applyNumberFormat="1" applyFont="1" applyBorder="1">
      <x:alignment horizontal="general" vertical="center"/>
    </x:xf>
    <x:xf numFmtId="0" fontId="0" fillId="0" borderId="18" xfId="2" applyNumberFormat="1" applyFont="1" applyBorder="1">
      <x:alignment horizontal="general" vertical="center"/>
    </x:xf>
    <x:xf numFmtId="0" fontId="0" fillId="0" borderId="0" xfId="0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1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1" fillId="0" borderId="0" xfId="0" applyNumberFormat="1" applyFont="1" applyFill="1" applyBorder="1" applyAlignment="1">
          <x:alignment horizontal="center" vertical="center"/>
        </x:xf>
      </mc:Fallback>
    </mc:AlternateContent>
    <x:xf numFmtId="0" fontId="0" fillId="0" borderId="19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0" fillId="0" borderId="1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0" fillId="0" borderId="1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9" xfId="1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9" xfId="1" applyNumberFormat="1" applyFont="1" applyBorder="1" applyAlignment="1">
          <x:alignment horizontal="center" vertical="center"/>
        </x:xf>
      </mc:Fallback>
    </mc:AlternateContent>
    <x:xf numFmtId="10" fontId="0" fillId="0" borderId="20" xfId="2" applyNumberFormat="1" applyFont="1" applyBorder="1">
      <x:alignment horizontal="general" vertical="center"/>
    </x:xf>
    <x:xf numFmtId="0" fontId="0" fillId="0" borderId="21" xfId="2" applyNumberFormat="1" applyFont="1" applyBorder="1">
      <x:alignment horizontal="general" vertical="center"/>
    </x:xf>
    <x:xf numFmtId="0" fontId="0" fillId="0" borderId="21" xfId="0" applyNumberFormat="1" applyBorder="1">
      <x:alignment horizontal="general" vertical="center"/>
    </x:xf>
    <x:xf numFmtId="0" fontId="0" fillId="0" borderId="22" xfId="0" applyNumberFormat="1" applyBorder="1">
      <x:alignment horizontal="general" vertical="center"/>
    </x:xf>
    <x:xf numFmtId="49" fontId="0" fillId="0" borderId="23" xfId="0" applyNumberFormat="1" applyBorder="1" applyAlignment="1">
      <x:alignment horizontal="left" vertical="center"/>
    </x:xf>
    <x:xf numFmtId="49" fontId="12" fillId="0" borderId="24" xfId="0" applyNumberFormat="1" applyFont="1" applyBorder="1" applyAlignment="1">
      <x:alignment horizontal="left" vertical="center"/>
    </x:xf>
    <x:xf numFmtId="49" fontId="0" fillId="0" borderId="24" xfId="0" applyNumberFormat="1" applyFont="1" applyBorder="1" applyAlignment="1">
      <x:alignment horizontal="left" vertical="center"/>
    </x:xf>
    <x:xf numFmtId="49" fontId="0" fillId="0" borderId="25" xfId="0" applyNumberFormat="1" applyFont="1" applyBorder="1" applyAlignment="1">
      <x:alignment horizontal="left" vertical="center"/>
    </x:xf>
    <x:xf numFmtId="0" fontId="0" fillId="0" borderId="0" xfId="0" applyNumberFormat="1" applyFont="1" applyFill="1" applyBorder="1">
      <x:alignment horizontal="general" vertical="center"/>
    </x:xf>
    <x:xf numFmtId="0" fontId="0" fillId="0" borderId="0" xfId="0" applyNumberFormat="1" applyFont="1" applyBorder="1">
      <x:alignment horizontal="general" vertical="center"/>
    </x:xf>
    <x:xf numFmtId="0" fontId="0" fillId="0" borderId="3" xfId="0" applyNumberFormat="1" applyFont="1" applyBorder="1">
      <x:alignment horizontal="general" vertical="center"/>
    </x:xf>
    <x:xf numFmtId="0" fontId="0" fillId="0" borderId="4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0" fontId="12" fillId="5" borderId="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12" fillId="5" borderId="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0" fillId="0" borderId="1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0" fillId="0" borderId="1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0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0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0" fillId="5" borderId="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0" fillId="5" borderId="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0" fillId="6" borderId="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0" fillId="6" borderId="9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0" fillId="0" borderId="1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0" fillId="0" borderId="16" xfId="2" applyNumberFormat="1" applyFont="1" applyBorder="1" applyAlignment="1">
          <x:alignment horizontal="center" vertical="center"/>
        </x:xf>
      </mc:Fallback>
    </mc:AlternateContent>
    <x:xf numFmtId="164" fontId="9" fillId="0" borderId="0" xfId="4" applyNumberFormat="1" applyFont="1" applyFill="1" applyBorder="1" applyAlignment="1">
      <x:alignment horizontal="general" vertical="center"/>
    </x:xf>
    <x:xf numFmtId="0" fontId="9" fillId="0" borderId="0" xfId="3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9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0" xfId="0" applyNumberFormat="1" applyFont="1" applyFill="1" applyBorder="1" applyAlignment="1">
          <x:alignment horizontal="center" vertical="center"/>
        </x:xf>
      </mc:Fallback>
    </mc:AlternateContent>
    <x:xf numFmtId="0" fontId="0" fillId="0" borderId="8" xfId="0" applyNumberFormat="1" applyFont="1" applyBorder="1">
      <x:alignment horizontal="general" vertical="center"/>
    </x:xf>
    <x:xf numFmtId="0" fontId="0" fillId="0" borderId="26" xfId="0" applyNumberFormat="1" applyFont="1" applyBorder="1">
      <x:alignment horizontal="general" vertical="center"/>
    </x:xf>
    <x:xf numFmtId="49" fontId="0" fillId="0" borderId="27" xfId="0" applyNumberFormat="1" applyBorder="1" applyAlignment="1">
      <x:alignment horizontal="left" vertical="center"/>
    </x:xf>
    <x:xf numFmtId="0" fontId="12" fillId="7" borderId="9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0" fontId="12" fillId="7" borderId="9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12" fillId="7" borderId="9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12" fillId="7" borderId="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12" fillId="7" borderId="9" xfId="2" applyNumberFormat="1" applyFont="1" applyFill="1" applyBorder="1" applyAlignment="1">
          <x:alignment horizontal="center" vertical="center"/>
        </x:xf>
      </mc:Fallback>
    </mc:AlternateContent>
    <x:xf numFmtId="0" fontId="0" fillId="5" borderId="28" xfId="0" applyNumberFormat="1" applyFont="1" applyFill="1" applyBorder="1">
      <x:alignment horizontal="general" vertical="center"/>
    </x:xf>
    <x:xf numFmtId="0" fontId="0" fillId="5" borderId="29" xfId="0" applyNumberFormat="1" applyFont="1" applyFill="1" applyBorder="1">
      <x:alignment horizontal="general" vertical="center"/>
    </x:xf>
    <x:xf numFmtId="0" fontId="0" fillId="5" borderId="30" xfId="0" applyNumberFormat="1" applyFont="1" applyFill="1" applyBorder="1">
      <x:alignment horizontal="general" vertical="center"/>
    </x:xf>
    <x:xf numFmtId="0" fontId="0" fillId="6" borderId="0" xfId="0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4" fontId="12" fillId="5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2" fillId="5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5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5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0" fillId="5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0" fillId="5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6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6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0" fillId="6" borderId="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0" fillId="6" borderId="0" xfId="2" applyNumberFormat="1" applyFont="1" applyFill="1" applyBorder="1" applyAlignment="1">
          <x:alignment horizontal="center" vertical="center"/>
        </x:xf>
      </mc:Fallback>
    </mc:AlternateContent>
    <x:xf numFmtId="0" fontId="0" fillId="6" borderId="28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7" borderId="9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7" borderId="9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5" borderId="9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5" borderId="9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6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6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31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31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5" borderId="9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5" borderId="9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2" fillId="7" borderId="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2" fillId="7" borderId="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6" borderId="9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6" borderId="9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3" fillId="6" borderId="9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3" fillId="6" borderId="9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6" borderId="15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6" borderId="15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6" borderId="9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6" borderId="9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12" fillId="6" borderId="9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12" fillId="6" borderId="9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12" fillId="6" borderId="9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12" fillId="6" borderId="9" xfId="2" applyNumberFormat="1" applyFont="1" applyFill="1" applyBorder="1" applyAlignment="1">
          <x:alignment horizontal="center" vertical="center"/>
        </x:xf>
      </mc:Fallback>
    </mc:AlternateContent>
    <x:xf numFmtId="0" fontId="14" fillId="0" borderId="19" xfId="0" applyNumberFormat="1" applyFont="1" applyBorder="1" applyAlignment="1">
      <x:alignment horizontal="left" vertical="center"/>
    </x:xf>
    <x:xf numFmtId="0" fontId="0" fillId="0" borderId="0" xfId="2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0" fillId="5" borderId="10" xfId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5" borderId="10" xfId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6" borderId="3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6" borderId="30" xfId="1" applyNumberFormat="1" applyFont="1" applyFill="1" applyBorder="1" applyAlignment="1">
          <x:alignment horizontal="center" vertical="center"/>
        </x:xf>
      </mc:Fallback>
    </mc:AlternateContent>
    <x:xf numFmtId="0" fontId="0" fillId="6" borderId="28" xfId="0" applyNumberFormat="1" applyFont="1" applyFill="1" applyBorder="1" applyAlignment="1">
      <x:alignment horizontal="general" vertical="center"/>
    </x:xf>
    <x:xf numFmtId="0" fontId="0" fillId="6" borderId="29" xfId="0" applyNumberFormat="1" applyFont="1" applyFill="1" applyBorder="1" applyAlignment="1">
      <x:alignment horizontal="general" vertical="center"/>
    </x:xf>
    <x:xf numFmtId="0" fontId="0" fillId="6" borderId="30" xfId="0" applyNumberFormat="1" applyFont="1" applyFill="1" applyBorder="1" applyAlignment="1">
      <x:alignment horizontal="general" vertical="center"/>
    </x:xf>
    <x:xf numFmtId="0" fontId="0" fillId="5" borderId="28" xfId="0" applyNumberFormat="1" applyFont="1" applyFill="1" applyBorder="1" applyAlignment="1">
      <x:alignment horizontal="general" vertical="center"/>
    </x:xf>
    <x:xf numFmtId="0" fontId="0" fillId="5" borderId="29" xfId="0" applyNumberFormat="1" applyFont="1" applyFill="1" applyBorder="1" applyAlignment="1">
      <x:alignment horizontal="general" vertical="center"/>
    </x:xf>
    <x:xf numFmtId="0" fontId="0" fillId="5" borderId="30" xfId="0" applyNumberFormat="1" applyFont="1" applyFill="1" applyBorder="1" applyAlignment="1">
      <x:alignment horizontal="general" vertical="center"/>
    </x:xf>
    <x:xf numFmtId="0" fontId="12" fillId="7" borderId="10" xfId="0" applyNumberFormat="1" applyFont="1" applyFill="1" applyBorder="1" applyAlignment="1">
      <x:alignment horizontal="general" vertical="center"/>
    </x:xf>
    <x:xf numFmtId="0" fontId="12" fillId="7" borderId="29" xfId="0" applyNumberFormat="1" applyFont="1" applyFill="1" applyBorder="1" applyAlignment="1">
      <x:alignment horizontal="general" vertical="center"/>
    </x:xf>
    <x:xf numFmtId="0" fontId="12" fillId="7" borderId="30" xfId="0" applyNumberFormat="1" applyFont="1" applyFill="1" applyBorder="1" applyAlignment="1">
      <x:alignment horizontal="general" vertical="center"/>
    </x:xf>
    <x:xf numFmtId="0" fontId="0" fillId="6" borderId="28" xfId="0" applyNumberFormat="1" applyFont="1" applyFill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0" fillId="0" borderId="1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9" xfId="0" applyNumberFormat="1" applyBorder="1" applyAlignment="1">
          <x:alignment horizontal="center" vertical="center"/>
        </x:xf>
      </mc:Fallback>
    </mc:AlternateContent>
    <x:xf numFmtId="0" fontId="14" fillId="0" borderId="32" xfId="0" applyNumberFormat="1" applyFont="1" applyBorder="1" applyAlignment="1">
      <x:alignment horizontal="left" vertical="center"/>
    </x:xf>
    <x:xf numFmtId="0" fontId="14" fillId="0" borderId="33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9" fontId="10" fillId="8" borderId="3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8" borderId="3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9" borderId="3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9" borderId="3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0" borderId="3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0" borderId="3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0" borderId="3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0" borderId="3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0" borderId="38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0" borderId="38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3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3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4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4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0" fillId="10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0" fillId="10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0" fillId="6" borderId="4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0" fillId="6" borderId="4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0" fillId="6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0" fillId="6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0" fillId="10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0" fillId="10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10" fillId="6" borderId="4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10" fillId="6" borderId="4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5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5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5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1" borderId="46" xfId="3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1" borderId="46" xfId="3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1" borderId="47" xfId="3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1" borderId="47" xfId="3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1" borderId="48" xfId="3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1" borderId="48" xfId="3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1" borderId="49" xfId="3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1" borderId="49" xfId="3" applyNumberFormat="1" applyFont="1" applyFill="1" applyBorder="1" applyAlignment="1" applyProtection="1">
          <x:alignment horizontal="center" vertical="center"/>
        </x:xf>
      </mc:Fallback>
    </mc:AlternateContent>
    <x:xf numFmtId="0" fontId="0" fillId="6" borderId="29" xfId="0" applyNumberFormat="1" applyFont="1" applyFill="1" applyBorder="1" applyAlignment="1" applyProtection="1">
      <x:alignment horizontal="general" vertical="center"/>
    </x:xf>
    <x:xf numFmtId="0" fontId="0" fillId="6" borderId="3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0" fillId="3" borderId="50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50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51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51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10" borderId="5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10" borderId="5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0" fillId="6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0" fillId="6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10" fillId="10" borderId="44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10" fillId="10" borderId="44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0" fontId="10" fillId="6" borderId="4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0" fontId="10" fillId="6" borderId="4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0" fillId="3" borderId="54" xfId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0" fillId="3" borderId="54" xfId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0" borderId="5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0" borderId="5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6" borderId="5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6" borderId="53" xfId="0" applyFont="1" applyFill="1" applyBorder="1" applyAlignment="1">
          <x:alignment horizontal="center" vertical="center"/>
        </x:xf>
      </mc:Fallback>
    </mc:AlternateContent>
    <x:xf numFmtId="0" fontId="0" fillId="6" borderId="55" xfId="0" applyNumberFormat="1" applyFont="1" applyFill="1" applyBorder="1" applyAlignment="1">
      <x:alignment horizontal="general" vertical="center"/>
    </x:xf>
    <x:xf numFmtId="0" fontId="0" fillId="6" borderId="56" xfId="0" applyNumberFormat="1" applyFont="1" applyFill="1" applyBorder="1" applyAlignment="1">
      <x:alignment horizontal="general" vertical="center"/>
    </x:xf>
    <x:xf numFmtId="0" fontId="0" fillId="6" borderId="57" xfId="0" applyNumberFormat="1" applyFont="1" applyFill="1" applyBorder="1" applyAlignment="1">
      <x:alignment horizontal="general" vertical="center"/>
    </x:xf>
    <x:xf numFmtId="0" fontId="0" fillId="6" borderId="58" xfId="0" applyNumberFormat="1" applyFont="1" applyFill="1" applyBorder="1" applyAlignment="1">
      <x:alignment horizontal="general" vertical="center"/>
    </x:xf>
    <x:xf numFmtId="0" fontId="0" fillId="6" borderId="59" xfId="0" applyNumberFormat="1" applyFont="1" applyFill="1" applyBorder="1" applyAlignment="1">
      <x:alignment horizontal="general" vertical="center"/>
    </x:xf>
    <x:xf numFmtId="0" fontId="0" fillId="6" borderId="60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9" fillId="12" borderId="61" xfId="4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12" borderId="61" xfId="4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12" borderId="62" xfId="4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12" borderId="62" xfId="4" applyNumberFormat="1" applyFont="1" applyFill="1" applyBorder="1" applyAlignment="1" applyProtection="1">
          <x:alignment horizontal="center" vertical="center"/>
        </x:xf>
      </mc:Fallback>
    </mc:AlternateContent>
  </x:cellXfs>
  <x:cellStyles count="5">
    <x:cellStyle xfId="2" builtinId="5"/>
    <x:cellStyle xfId="1" builtinId="6"/>
    <x:cellStyle name="제목 1" xfId="3"/>
    <x:cellStyle name="제목 3" xfId="4"/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1e5f5"/>
              <x:bgColor rgb="ffc1e5f5"/>
            </x:patternFill>
          </x:fill>
          <x:border>
            <x:bottom style="thin">
              <x:color rgb="ff47b1e0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c1e5f5"/>
              <x:bgColor rgb="ffc1e5f5"/>
            </x:patternFill>
          </x:fill>
          <x:border>
            <x:bottom style="thin">
              <x:color rgb="ff47b1e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1e5f5"/>
              <x:bgColor rgb="ffc1e5f5"/>
            </x:patternFill>
          </x:fill>
          <x:border>
            <x:top style="thin">
              <x:color rgb="ff47b1e0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c1e5f5"/>
              <x:bgColor rgb="ffc1e5f5"/>
            </x:patternFill>
          </x:fill>
          <x:border>
            <x:top style="thin">
              <x:color rgb="ff47b1e0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156082"/>
            </x:top>
            <x:bottom style="thin">
              <x:color rgb="ff156082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156082"/>
            </x:top>
            <x:bottom style="thin">
              <x:color rgb="ff156082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47b1e0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47b1e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1e5f5"/>
          <x:bgColor rgb="ffc1e5f5"/>
        </x:patternFill>
      </x:fill>
      <x:border>
        <x:bottom style="thin">
          <x:color rgb="ff47b1e0"/>
        </x:bottom>
      </x:border>
    </x:dxf>
    <x:dxf>
      <x:fill>
        <x:patternFill patternType="solid">
          <x:fgColor rgb="ffc1e5f5"/>
          <x:bgColor rgb="ffc1e5f5"/>
        </x:patternFill>
      </x:fill>
      <x:border>
        <x:bottom style="thin">
          <x:color rgb="ff47b1e0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156082"/>
              <x:bgColor rgb="ff156082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156082"/>
              <x:bgColor rgb="ff156082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156082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156082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1e5f5"/>
          <x:bgColor rgb="ffc1e5f5"/>
        </x:patternFill>
      </x:fill>
    </x:dxf>
    <x:dxf>
      <x:fill>
        <x:patternFill patternType="solid">
          <x:fgColor rgb="ffc1e5f5"/>
          <x:bgColor rgb="ffc1e5f5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2147483647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2147483647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S124"/>
  <x:sheetViews>
    <x:sheetView tabSelected="1" view="pageBreakPreview" topLeftCell="A2" zoomScale="80" zoomScaleNormal="80" zoomScaleSheetLayoutView="80" workbookViewId="0">
      <x:selection activeCell="AI15" activeCellId="0" sqref="AI15:AI15"/>
    </x:sheetView>
  </x:sheetViews>
  <x:sheetFormatPr defaultColWidth="9" defaultRowHeight="16.399999999999999"/>
  <x:cols>
    <x:col min="1" max="1" width="8.25" style="3" customWidth="1"/>
    <x:col min="2" max="10" width="3.5" style="2" customWidth="1"/>
    <x:col min="11" max="11" width="60.5" style="2" customWidth="1"/>
    <x:col min="12" max="12" width="7.25" style="2" customWidth="1"/>
    <x:col min="13" max="14" width="13" style="4" customWidth="1"/>
    <x:col min="15" max="15" width="8.98046875" style="5" bestFit="1" customWidth="1"/>
    <x:col min="16" max="16" width="15.1875" style="5" bestFit="1" customWidth="1"/>
    <x:col min="17" max="17" width="12.3984375" style="6" bestFit="1" customWidth="1"/>
    <x:col min="18" max="19" width="6.875" style="7" hidden="1" customWidth="1"/>
    <x:col min="20" max="20" width="13.5" style="55" customWidth="1"/>
    <x:col min="21" max="21" width="11.56640625" style="8" bestFit="1" customWidth="1"/>
    <x:col min="22" max="22" width="9" style="8" customWidth="1"/>
    <x:col min="23" max="38" width="3.75" style="2" customWidth="1"/>
    <x:col min="39" max="43" width="3.5" style="2" bestFit="1" customWidth="1"/>
    <x:col min="44" max="16384" width="9" style="2"/>
  </x:cols>
  <x:sheetData>
    <x:row r="1" spans="1:43" hidden="1">
      <x:c r="A1" s="64" t="s">
        <x:v>30</x:v>
      </x:c>
      <x:c r="B1" s="104" t="s">
        <x:v>162</x:v>
      </x:c>
      <x:c r="C1" s="104"/>
      <x:c r="D1" s="104"/>
      <x:c r="E1" s="104"/>
      <x:c r="F1" s="104"/>
      <x:c r="G1" s="104"/>
      <x:c r="H1" s="104"/>
      <x:c r="I1" s="104"/>
      <x:c r="J1" s="104"/>
      <x:c r="K1" s="104"/>
      <x:c r="L1" s="38" t="s">
        <x:v>223</x:v>
      </x:c>
      <x:c r="M1" s="39" t="s">
        <x:v>100</x:v>
      </x:c>
      <x:c r="N1" s="39" t="s">
        <x:v>102</x:v>
      </x:c>
      <x:c r="O1" s="40" t="s">
        <x:v>226</x:v>
      </x:c>
      <x:c r="P1" s="40" t="s">
        <x:v>238</x:v>
      </x:c>
      <x:c r="Q1" s="41" t="s">
        <x:v>241</x:v>
      </x:c>
      <x:c r="R1" s="40" t="s">
        <x:v>168</x:v>
      </x:c>
      <x:c r="S1" s="40" t="s">
        <x:v>243</x:v>
      </x:c>
      <x:c r="T1" s="54" t="s">
        <x:v>258</x:v>
      </x:c>
      <x:c r="U1" s="42" t="s">
        <x:v>155</x:v>
      </x:c>
      <x:c r="V1" s="42"/>
      <x:c r="W1" s="43"/>
      <x:c r="X1" s="43"/>
      <x:c r="Y1" s="43"/>
      <x:c r="Z1" s="43"/>
      <x:c r="AA1" s="43"/>
      <x:c r="AB1" s="43"/>
      <x:c r="AC1" s="43"/>
      <x:c r="AD1" s="43"/>
      <x:c r="AE1" s="43"/>
      <x:c r="AF1" s="43"/>
      <x:c r="AG1" s="43"/>
      <x:c r="AH1" s="43"/>
      <x:c r="AI1" s="43"/>
      <x:c r="AJ1" s="43"/>
      <x:c r="AK1" s="43"/>
      <x:c r="AL1" s="43"/>
      <x:c r="AM1" s="12"/>
      <x:c r="AN1" s="44"/>
      <x:c r="AO1" s="44"/>
      <x:c r="AP1" s="44"/>
      <x:c r="AQ1" s="44"/>
    </x:row>
    <x:row r="2" spans="1:44" ht="35.25" customHeight="1">
      <x:c r="A2" s="105" t="s">
        <x:v>254</x:v>
      </x:c>
      <x:c r="B2" s="106"/>
      <x:c r="C2" s="106"/>
      <x:c r="D2" s="106"/>
      <x:c r="E2" s="106"/>
      <x:c r="F2" s="106"/>
      <x:c r="G2" s="106"/>
      <x:c r="H2" s="106"/>
      <x:c r="I2" s="106"/>
      <x:c r="J2" s="106"/>
      <x:c r="K2" s="106"/>
      <x:c r="L2" s="106"/>
      <x:c r="M2" s="106"/>
      <x:c r="N2" s="106"/>
      <x:c r="O2" s="106"/>
      <x:c r="P2" s="106"/>
      <x:c r="Q2" s="106"/>
      <x:c r="R2" s="106"/>
      <x:c r="S2" s="106"/>
      <x:c r="T2" s="106"/>
      <x:c r="U2" s="106"/>
      <x:c r="V2" s="90"/>
      <x:c r="W2" s="143" t="s">
        <x:v>47</x:v>
      </x:c>
      <x:c r="X2" s="144"/>
      <x:c r="Y2" s="144"/>
      <x:c r="Z2" s="144"/>
      <x:c r="AA2" s="144"/>
      <x:c r="AB2" s="144"/>
      <x:c r="AC2" s="144"/>
      <x:c r="AD2" s="144"/>
      <x:c r="AE2" s="144"/>
      <x:c r="AF2" s="144"/>
      <x:c r="AG2" s="144"/>
      <x:c r="AH2" s="144"/>
      <x:c r="AI2" s="144"/>
      <x:c r="AJ2" s="144"/>
      <x:c r="AK2" s="144"/>
      <x:c r="AL2" s="144"/>
      <x:c r="AM2" s="59"/>
      <x:c r="AN2" s="59"/>
      <x:c r="AO2" s="59"/>
      <x:c r="AP2" s="59"/>
      <x:c r="AQ2" s="59"/>
      <x:c r="AR2" s="1"/>
    </x:row>
    <x:row r="3" spans="1:44">
      <x:c r="A3" s="45" t="s">
        <x:v>132</x:v>
      </x:c>
      <x:c r="E3" s="2" t="s">
        <x:v>122</x:v>
      </x:c>
      <x:c r="U3" s="35"/>
      <x:c r="V3" s="91"/>
      <x:c r="W3" s="122" t="s">
        <x:v>28</x:v>
      </x:c>
      <x:c r="X3" s="123"/>
      <x:c r="Y3" s="123"/>
      <x:c r="Z3" s="123"/>
      <x:c r="AA3" s="123"/>
      <x:c r="AB3" s="123"/>
      <x:c r="AC3" s="124"/>
      <x:c r="AD3" s="125" t="s">
        <x:v>31</x:v>
      </x:c>
      <x:c r="AE3" s="123"/>
      <x:c r="AF3" s="123"/>
      <x:c r="AG3" s="123"/>
      <x:c r="AH3" s="123"/>
      <x:c r="AI3" s="123"/>
      <x:c r="AJ3" s="124"/>
      <x:c r="AK3" s="125" t="s">
        <x:v>62</x:v>
      </x:c>
      <x:c r="AL3" s="123"/>
      <x:c r="AM3" s="60"/>
      <x:c r="AN3" s="60"/>
      <x:c r="AO3" s="60"/>
      <x:c r="AP3" s="60"/>
      <x:c r="AQ3" s="60"/>
      <x:c r="AR3" s="1"/>
    </x:row>
    <x:row r="4" spans="1:44" ht="17.25" customHeight="1">
      <x:c r="A4" s="107" t="s">
        <x:v>11</x:v>
      </x:c>
      <x:c r="B4" s="109" t="s">
        <x:v>60</x:v>
      </x:c>
      <x:c r="C4" s="110"/>
      <x:c r="D4" s="110"/>
      <x:c r="E4" s="110"/>
      <x:c r="F4" s="110"/>
      <x:c r="G4" s="110"/>
      <x:c r="H4" s="110"/>
      <x:c r="I4" s="110"/>
      <x:c r="J4" s="110"/>
      <x:c r="K4" s="111"/>
      <x:c r="L4" s="115" t="s">
        <x:v>33</x:v>
      </x:c>
      <x:c r="M4" s="115" t="s">
        <x:v>69</x:v>
      </x:c>
      <x:c r="N4" s="118" t="s">
        <x:v>40</x:v>
      </x:c>
      <x:c r="O4" s="129" t="s">
        <x:v>93</x:v>
      </x:c>
      <x:c r="P4" s="129"/>
      <x:c r="Q4" s="134"/>
      <x:c r="R4" s="128" t="s">
        <x:v>148</x:v>
      </x:c>
      <x:c r="S4" s="129"/>
      <x:c r="T4" s="130" t="s">
        <x:v>24</x:v>
      </x:c>
      <x:c r="U4" s="132" t="s">
        <x:v>95</x:v>
      </x:c>
      <x:c r="V4" s="135" t="s">
        <x:v>12</x:v>
      </x:c>
      <x:c r="W4" s="9" t="s">
        <x:v>17</x:v>
      </x:c>
      <x:c r="X4" s="9" t="s">
        <x:v>36</x:v>
      </x:c>
      <x:c r="Y4" s="9" t="s">
        <x:v>26</x:v>
      </x:c>
      <x:c r="Z4" s="9" t="s">
        <x:v>19</x:v>
      </x:c>
      <x:c r="AA4" s="9" t="s">
        <x:v>51</x:v>
      </x:c>
      <x:c r="AB4" s="9" t="s">
        <x:v>57</x:v>
      </x:c>
      <x:c r="AC4" s="9" t="s">
        <x:v>54</x:v>
      </x:c>
      <x:c r="AD4" s="9" t="s">
        <x:v>17</x:v>
      </x:c>
      <x:c r="AE4" s="9" t="s">
        <x:v>36</x:v>
      </x:c>
      <x:c r="AF4" s="9" t="s">
        <x:v>26</x:v>
      </x:c>
      <x:c r="AG4" s="9" t="s">
        <x:v>19</x:v>
      </x:c>
      <x:c r="AH4" s="9" t="s">
        <x:v>51</x:v>
      </x:c>
      <x:c r="AI4" s="9" t="s">
        <x:v>57</x:v>
      </x:c>
      <x:c r="AJ4" s="9" t="s">
        <x:v>54</x:v>
      </x:c>
      <x:c r="AK4" s="9" t="s">
        <x:v>17</x:v>
      </x:c>
      <x:c r="AL4" s="9" t="s">
        <x:v>36</x:v>
      </x:c>
      <x:c r="AM4" s="61"/>
      <x:c r="AN4" s="61"/>
      <x:c r="AO4" s="61"/>
      <x:c r="AP4" s="61"/>
      <x:c r="AQ4" s="61"/>
      <x:c r="AR4" s="1"/>
    </x:row>
    <x:row r="5" spans="1:38" ht="15" customHeight="1">
      <x:c r="A5" s="108"/>
      <x:c r="B5" s="112"/>
      <x:c r="C5" s="113"/>
      <x:c r="D5" s="113"/>
      <x:c r="E5" s="113"/>
      <x:c r="F5" s="113"/>
      <x:c r="G5" s="113"/>
      <x:c r="H5" s="113"/>
      <x:c r="I5" s="113"/>
      <x:c r="J5" s="113"/>
      <x:c r="K5" s="114"/>
      <x:c r="L5" s="116"/>
      <x:c r="M5" s="117"/>
      <x:c r="N5" s="119"/>
      <x:c r="O5" s="80" t="s">
        <x:v>43</x:v>
      </x:c>
      <x:c r="P5" s="81" t="s">
        <x:v>49</x:v>
      </x:c>
      <x:c r="Q5" s="10" t="s">
        <x:v>13</x:v>
      </x:c>
      <x:c r="R5" s="81" t="s">
        <x:v>43</x:v>
      </x:c>
      <x:c r="S5" s="81" t="s">
        <x:v>49</x:v>
      </x:c>
      <x:c r="T5" s="131"/>
      <x:c r="U5" s="133"/>
      <x:c r="V5" s="136"/>
      <x:c r="W5" s="11">
        <x:v>7</x:v>
      </x:c>
      <x:c r="X5" s="11">
        <x:f t="shared" ref="X5:AL5" si="0">W5+1</x:f>
        <x:v>8</x:v>
      </x:c>
      <x:c r="Y5" s="11">
        <x:f t="shared" si="0"/>
        <x:v>9</x:v>
      </x:c>
      <x:c r="Z5" s="11">
        <x:f t="shared" si="0"/>
        <x:v>10</x:v>
      </x:c>
      <x:c r="AA5" s="11">
        <x:f t="shared" si="0"/>
        <x:v>11</x:v>
      </x:c>
      <x:c r="AB5" s="11">
        <x:f t="shared" si="0"/>
        <x:v>12</x:v>
      </x:c>
      <x:c r="AC5" s="11">
        <x:f t="shared" si="0"/>
        <x:v>13</x:v>
      </x:c>
      <x:c r="AD5" s="11">
        <x:f t="shared" si="0"/>
        <x:v>14</x:v>
      </x:c>
      <x:c r="AE5" s="11">
        <x:f t="shared" si="0"/>
        <x:v>15</x:v>
      </x:c>
      <x:c r="AF5" s="11">
        <x:f t="shared" si="0"/>
        <x:v>16</x:v>
      </x:c>
      <x:c r="AG5" s="11">
        <x:f t="shared" si="0"/>
        <x:v>17</x:v>
      </x:c>
      <x:c r="AH5" s="11">
        <x:f t="shared" si="0"/>
        <x:v>18</x:v>
      </x:c>
      <x:c r="AI5" s="11">
        <x:f t="shared" si="0"/>
        <x:v>19</x:v>
      </x:c>
      <x:c r="AJ5" s="11">
        <x:f t="shared" si="0"/>
        <x:v>20</x:v>
      </x:c>
      <x:c r="AK5" s="11">
        <x:f t="shared" si="0"/>
        <x:v>21</x:v>
      </x:c>
      <x:c r="AL5" s="11">
        <x:f t="shared" si="0"/>
        <x:v>22</x:v>
      </x:c>
    </x:row>
    <x:row r="6" spans="1:44">
      <x:c r="A6" s="120" t="s">
        <x:v>98</x:v>
      </x:c>
      <x:c r="B6" s="121"/>
      <x:c r="C6" s="121"/>
      <x:c r="D6" s="121"/>
      <x:c r="E6" s="121"/>
      <x:c r="F6" s="121"/>
      <x:c r="G6" s="121"/>
      <x:c r="H6" s="121"/>
      <x:c r="I6" s="121"/>
      <x:c r="J6" s="121"/>
      <x:c r="K6" s="121"/>
      <x:c r="L6" s="13"/>
      <x:c r="M6" s="14" t="s">
        <x:v>20</x:v>
      </x:c>
      <x:c r="N6" s="14" t="s">
        <x:v>20</x:v>
      </x:c>
      <x:c r="O6" s="82" t="e">
        <x:f>N6-M6+1</x:f>
        <x:v>#VALUE!</x:v>
      </x:c>
      <x:c r="P6" s="82" t="e">
        <x:f>P7+P22+P47+P60+P76+P82</x:f>
        <x:v>#VALUE!</x:v>
      </x:c>
      <x:c r="Q6" s="15" t="e">
        <x:f>P6/O6</x:f>
        <x:v>#VALUE!</x:v>
      </x:c>
      <x:c r="R6" s="82"/>
      <x:c r="S6" s="82"/>
      <x:c r="T6" s="16"/>
      <x:c r="U6" s="53">
        <x:v>0</x:v>
      </x:c>
      <x:c r="V6" s="53"/>
      <x:c r="W6" s="79"/>
      <x:c r="X6" s="79"/>
      <x:c r="Y6" s="79"/>
      <x:c r="Z6" s="79"/>
      <x:c r="AA6" s="79"/>
      <x:c r="AB6" s="79"/>
      <x:c r="AC6" s="79"/>
      <x:c r="AD6" s="79"/>
      <x:c r="AE6" s="79"/>
      <x:c r="AF6" s="79"/>
      <x:c r="AG6" s="79"/>
      <x:c r="AH6" s="79"/>
      <x:c r="AI6" s="79"/>
      <x:c r="AJ6" s="79"/>
      <x:c r="AK6" s="79"/>
      <x:c r="AL6" s="79"/>
      <x:c r="AM6" s="36"/>
      <x:c r="AN6" s="36"/>
      <x:c r="AO6" s="36"/>
      <x:c r="AP6" s="36"/>
      <x:c r="AQ6" s="36"/>
      <x:c r="AR6" s="1"/>
    </x:row>
    <x:row r="7" spans="1:44">
      <x:c r="A7" s="46" t="s">
        <x:v>66</x:v>
      </x:c>
      <x:c r="B7" s="100" t="s">
        <x:v>67</x:v>
      </x:c>
      <x:c r="C7" s="101"/>
      <x:c r="D7" s="101"/>
      <x:c r="E7" s="101"/>
      <x:c r="F7" s="101"/>
      <x:c r="G7" s="101"/>
      <x:c r="H7" s="101"/>
      <x:c r="I7" s="101"/>
      <x:c r="J7" s="101"/>
      <x:c r="K7" s="102"/>
      <x:c r="L7" s="65"/>
      <x:c r="M7" s="14" t="s">
        <x:v>20</x:v>
      </x:c>
      <x:c r="N7" s="14" t="s">
        <x:v>20</x:v>
      </x:c>
      <x:c r="O7" s="78" t="e">
        <x:f t="shared" ref="O7:O86" si="1">N7-M7+1</x:f>
        <x:v>#VALUE!</x:v>
      </x:c>
      <x:c r="P7" s="78" t="s">
        <x:v>20</x:v>
      </x:c>
      <x:c r="Q7" s="66" t="e">
        <x:f t="shared" ref="Q7:Q54" si="2">P7/O7</x:f>
        <x:v>#VALUE!</x:v>
      </x:c>
      <x:c r="R7" s="78"/>
      <x:c r="S7" s="78"/>
      <x:c r="T7" s="83" t="s">
        <x:v>20</x:v>
      </x:c>
      <x:c r="U7" s="67">
        <x:v>0</x:v>
      </x:c>
      <x:c r="V7" s="67"/>
      <x:c r="W7" s="79"/>
      <x:c r="X7" s="79"/>
      <x:c r="Y7" s="79"/>
      <x:c r="Z7" s="79"/>
      <x:c r="AA7" s="79"/>
      <x:c r="AB7" s="79"/>
      <x:c r="AC7" s="79"/>
      <x:c r="AD7" s="79"/>
      <x:c r="AE7" s="79"/>
      <x:c r="AF7" s="79"/>
      <x:c r="AG7" s="79"/>
      <x:c r="AH7" s="79"/>
      <x:c r="AI7" s="79"/>
      <x:c r="AJ7" s="79"/>
      <x:c r="AK7" s="79"/>
      <x:c r="AL7" s="79"/>
      <x:c r="AM7" s="36"/>
      <x:c r="AN7" s="36"/>
      <x:c r="AO7" s="36"/>
      <x:c r="AP7" s="36"/>
      <x:c r="AQ7" s="36"/>
      <x:c r="AR7" s="1"/>
    </x:row>
    <x:row r="8" spans="1:44" s="52" customFormat="1" outlineLevel="1">
      <x:c r="A8" s="47" t="s">
        <x:v>18</x:v>
      </x:c>
      <x:c r="B8" s="17"/>
      <x:c r="C8" s="97" t="s">
        <x:v>197</x:v>
      </x:c>
      <x:c r="D8" s="98"/>
      <x:c r="E8" s="98"/>
      <x:c r="F8" s="98"/>
      <x:c r="G8" s="98"/>
      <x:c r="H8" s="98"/>
      <x:c r="I8" s="98"/>
      <x:c r="J8" s="98"/>
      <x:c r="K8" s="99"/>
      <x:c r="L8" s="18"/>
      <x:c r="M8" s="14">
        <x:v>45845</x:v>
      </x:c>
      <x:c r="N8" s="14">
        <x:v>45860</x:v>
      </x:c>
      <x:c r="O8" s="79">
        <x:f t="shared" si="1"/>
        <x:v>16</x:v>
      </x:c>
      <x:c r="P8" s="79">
        <x:v>16</x:v>
      </x:c>
      <x:c r="Q8" s="20">
        <x:f>P8/O8</x:f>
        <x:v>1</x:v>
      </x:c>
      <x:c r="R8" s="79"/>
      <x:c r="S8" s="79"/>
      <x:c r="T8" s="16" t="s">
        <x:v>65</x:v>
      </x:c>
      <x:c r="U8" s="56">
        <x:v>1</x:v>
      </x:c>
      <x:c r="V8" s="56"/>
      <x:c r="W8" s="79"/>
      <x:c r="X8" s="79"/>
      <x:c r="Y8" s="79"/>
      <x:c r="Z8" s="79"/>
      <x:c r="AA8" s="79"/>
      <x:c r="AB8" s="79"/>
      <x:c r="AC8" s="79"/>
      <x:c r="AD8" s="79"/>
      <x:c r="AE8" s="79"/>
      <x:c r="AF8" s="79"/>
      <x:c r="AG8" s="79"/>
      <x:c r="AH8" s="79"/>
      <x:c r="AI8" s="79"/>
      <x:c r="AJ8" s="79"/>
      <x:c r="AK8" s="79"/>
      <x:c r="AL8" s="79"/>
      <x:c r="AM8" s="49"/>
      <x:c r="AN8" s="49"/>
      <x:c r="AO8" s="49"/>
      <x:c r="AP8" s="49"/>
      <x:c r="AQ8" s="49"/>
      <x:c r="AR8" s="62"/>
    </x:row>
    <x:row r="9" spans="1:45" s="52" customFormat="1" outlineLevel="2">
      <x:c r="A9" s="47" t="s">
        <x:v>231</x:v>
      </x:c>
      <x:c r="B9" s="21"/>
      <x:c r="C9" s="22"/>
      <x:c r="D9" s="94" t="s">
        <x:v>133</x:v>
      </x:c>
      <x:c r="E9" s="95"/>
      <x:c r="F9" s="95"/>
      <x:c r="G9" s="95"/>
      <x:c r="H9" s="95"/>
      <x:c r="I9" s="95"/>
      <x:c r="J9" s="95"/>
      <x:c r="K9" s="96"/>
      <x:c r="L9" s="23"/>
      <x:c r="M9" s="14">
        <x:v>45845</x:v>
      </x:c>
      <x:c r="N9" s="14">
        <x:v>45848</x:v>
      </x:c>
      <x:c r="O9" s="79">
        <x:f t="shared" si="1"/>
        <x:v>4</x:v>
      </x:c>
      <x:c r="P9" s="79">
        <x:v>4</x:v>
      </x:c>
      <x:c r="Q9" s="20">
        <x:f t="shared" si="2"/>
        <x:v>1</x:v>
      </x:c>
      <x:c r="R9" s="84"/>
      <x:c r="S9" s="84"/>
      <x:c r="T9" s="16" t="s">
        <x:v>65</x:v>
      </x:c>
      <x:c r="U9" s="57">
        <x:v>1</x:v>
      </x:c>
      <x:c r="V9" s="57"/>
      <x:c r="W9" s="79"/>
      <x:c r="X9" s="79"/>
      <x:c r="Y9" s="79"/>
      <x:c r="Z9" s="79"/>
      <x:c r="AA9" s="79"/>
      <x:c r="AB9" s="79"/>
      <x:c r="AC9" s="79"/>
      <x:c r="AD9" s="79"/>
      <x:c r="AE9" s="79"/>
      <x:c r="AF9" s="79"/>
      <x:c r="AG9" s="79"/>
      <x:c r="AH9" s="79"/>
      <x:c r="AI9" s="79"/>
      <x:c r="AJ9" s="79"/>
      <x:c r="AK9" s="79"/>
      <x:c r="AL9" s="79"/>
      <x:c r="AM9" s="49"/>
      <x:c r="AN9" s="49"/>
      <x:c r="AO9" s="49"/>
      <x:c r="AP9" s="49"/>
      <x:c r="AQ9" s="49"/>
      <x:c r="AR9" s="50"/>
      <x:c r="AS9" s="51"/>
    </x:row>
    <x:row r="10" spans="1:44" s="52" customFormat="1" outlineLevel="2">
      <x:c r="A10" s="47" t="s">
        <x:v>171</x:v>
      </x:c>
      <x:c r="B10" s="21"/>
      <x:c r="C10" s="22"/>
      <x:c r="D10" s="94" t="s">
        <x:v>139</x:v>
      </x:c>
      <x:c r="E10" s="95"/>
      <x:c r="F10" s="95"/>
      <x:c r="G10" s="95"/>
      <x:c r="H10" s="95"/>
      <x:c r="I10" s="95"/>
      <x:c r="J10" s="95"/>
      <x:c r="K10" s="96"/>
      <x:c r="L10" s="23"/>
      <x:c r="M10" s="14">
        <x:v>45845</x:v>
      </x:c>
      <x:c r="N10" s="14">
        <x:v>45848</x:v>
      </x:c>
      <x:c r="O10" s="79">
        <x:f>N10-M10+1</x:f>
        <x:v>4</x:v>
      </x:c>
      <x:c r="P10" s="79">
        <x:v>4</x:v>
      </x:c>
      <x:c r="Q10" s="20">
        <x:f t="shared" si="2"/>
        <x:v>1</x:v>
      </x:c>
      <x:c r="R10" s="84"/>
      <x:c r="S10" s="84"/>
      <x:c r="T10" s="16" t="s">
        <x:v>65</x:v>
      </x:c>
      <x:c r="U10" s="57">
        <x:v>1</x:v>
      </x:c>
      <x:c r="V10" s="57"/>
      <x:c r="W10" s="79"/>
      <x:c r="X10" s="79"/>
      <x:c r="Y10" s="79"/>
      <x:c r="Z10" s="79"/>
      <x:c r="AA10" s="79"/>
      <x:c r="AB10" s="79"/>
      <x:c r="AC10" s="79"/>
      <x:c r="AD10" s="79"/>
      <x:c r="AE10" s="79"/>
      <x:c r="AF10" s="79"/>
      <x:c r="AG10" s="79"/>
      <x:c r="AH10" s="79"/>
      <x:c r="AI10" s="79"/>
      <x:c r="AJ10" s="79"/>
      <x:c r="AK10" s="79"/>
      <x:c r="AL10" s="79"/>
      <x:c r="AM10" s="49"/>
      <x:c r="AN10" s="49"/>
      <x:c r="AO10" s="49"/>
      <x:c r="AP10" s="49"/>
      <x:c r="AQ10" s="49"/>
      <x:c r="AR10" s="63"/>
    </x:row>
    <x:row r="11" spans="1:44" s="52" customFormat="1" outlineLevel="2">
      <x:c r="A11" s="47" t="s">
        <x:v>153</x:v>
      </x:c>
      <x:c r="B11" s="21"/>
      <x:c r="C11" s="22"/>
      <x:c r="D11" s="94" t="s">
        <x:v>73</x:v>
      </x:c>
      <x:c r="E11" s="95"/>
      <x:c r="F11" s="95"/>
      <x:c r="G11" s="95"/>
      <x:c r="H11" s="95"/>
      <x:c r="I11" s="95"/>
      <x:c r="J11" s="95"/>
      <x:c r="K11" s="96"/>
      <x:c r="L11" s="23"/>
      <x:c r="M11" s="14">
        <x:v>45851</x:v>
      </x:c>
      <x:c r="N11" s="14">
        <x:v>45858</x:v>
      </x:c>
      <x:c r="O11" s="79">
        <x:f t="shared" si="1"/>
        <x:v>8</x:v>
      </x:c>
      <x:c r="P11" s="79">
        <x:v>8</x:v>
      </x:c>
      <x:c r="Q11" s="20">
        <x:f t="shared" si="2"/>
        <x:v>1</x:v>
      </x:c>
      <x:c r="R11" s="84"/>
      <x:c r="S11" s="84"/>
      <x:c r="T11" s="16" t="s">
        <x:v>65</x:v>
      </x:c>
      <x:c r="U11" s="57">
        <x:v>1</x:v>
      </x:c>
      <x:c r="V11" s="57"/>
      <x:c r="W11" s="79"/>
      <x:c r="X11" s="79"/>
      <x:c r="Y11" s="79"/>
      <x:c r="Z11" s="79"/>
      <x:c r="AA11" s="79"/>
      <x:c r="AB11" s="79"/>
      <x:c r="AC11" s="79"/>
      <x:c r="AD11" s="79"/>
      <x:c r="AE11" s="79"/>
      <x:c r="AF11" s="79"/>
      <x:c r="AG11" s="79"/>
      <x:c r="AH11" s="79"/>
      <x:c r="AI11" s="79"/>
      <x:c r="AJ11" s="79"/>
      <x:c r="AK11" s="79"/>
      <x:c r="AL11" s="79"/>
      <x:c r="AM11" s="49"/>
      <x:c r="AN11" s="49"/>
      <x:c r="AO11" s="49"/>
      <x:c r="AP11" s="49"/>
      <x:c r="AQ11" s="49"/>
      <x:c r="AR11" s="63"/>
    </x:row>
    <x:row r="12" spans="1:44" s="52" customFormat="1" outlineLevel="2">
      <x:c r="A12" s="47" t="s">
        <x:v>153</x:v>
      </x:c>
      <x:c r="B12" s="21"/>
      <x:c r="C12" s="22"/>
      <x:c r="D12" s="94" t="s">
        <x:v>260</x:v>
      </x:c>
      <x:c r="E12" s="95"/>
      <x:c r="F12" s="95"/>
      <x:c r="G12" s="95"/>
      <x:c r="H12" s="95"/>
      <x:c r="I12" s="95"/>
      <x:c r="J12" s="95"/>
      <x:c r="K12" s="96"/>
      <x:c r="L12" s="23"/>
      <x:c r="M12" s="14">
        <x:v>45845</x:v>
      </x:c>
      <x:c r="N12" s="14">
        <x:v>45849</x:v>
      </x:c>
      <x:c r="O12" s="79">
        <x:f t="shared" si="1"/>
        <x:v>5</x:v>
      </x:c>
      <x:c r="P12" s="79">
        <x:v>5</x:v>
      </x:c>
      <x:c r="Q12" s="20">
        <x:f t="shared" si="2"/>
        <x:v>1</x:v>
      </x:c>
      <x:c r="R12" s="84"/>
      <x:c r="S12" s="84"/>
      <x:c r="T12" s="16" t="s">
        <x:v>65</x:v>
      </x:c>
      <x:c r="U12" s="57">
        <x:v>1</x:v>
      </x:c>
      <x:c r="V12" s="57"/>
      <x:c r="W12" s="79"/>
      <x:c r="X12" s="79"/>
      <x:c r="Y12" s="79"/>
      <x:c r="Z12" s="79"/>
      <x:c r="AA12" s="79"/>
      <x:c r="AB12" s="79"/>
      <x:c r="AC12" s="79"/>
      <x:c r="AD12" s="79"/>
      <x:c r="AE12" s="79"/>
      <x:c r="AF12" s="79"/>
      <x:c r="AG12" s="79"/>
      <x:c r="AH12" s="79"/>
      <x:c r="AI12" s="79"/>
      <x:c r="AJ12" s="79"/>
      <x:c r="AK12" s="79"/>
      <x:c r="AL12" s="79"/>
      <x:c r="AM12" s="49"/>
      <x:c r="AN12" s="49"/>
      <x:c r="AO12" s="49"/>
      <x:c r="AP12" s="49"/>
      <x:c r="AQ12" s="49"/>
      <x:c r="AR12" s="51"/>
    </x:row>
    <x:row r="13" spans="1:44" s="52" customFormat="1" outlineLevel="2">
      <x:c r="A13" s="47" t="s">
        <x:v>146</x:v>
      </x:c>
      <x:c r="B13" s="21"/>
      <x:c r="C13" s="22"/>
      <x:c r="D13" s="94" t="s">
        <x:v>117</x:v>
      </x:c>
      <x:c r="E13" s="95"/>
      <x:c r="F13" s="95"/>
      <x:c r="G13" s="95"/>
      <x:c r="H13" s="95"/>
      <x:c r="I13" s="95"/>
      <x:c r="J13" s="95"/>
      <x:c r="K13" s="96"/>
      <x:c r="L13" s="23"/>
      <x:c r="M13" s="14">
        <x:v>45845</x:v>
      </x:c>
      <x:c r="N13" s="14">
        <x:v>45849</x:v>
      </x:c>
      <x:c r="O13" s="79">
        <x:f t="shared" si="1"/>
        <x:v>5</x:v>
      </x:c>
      <x:c r="P13" s="79">
        <x:v>5</x:v>
      </x:c>
      <x:c r="Q13" s="20">
        <x:f t="shared" si="2"/>
        <x:v>1</x:v>
      </x:c>
      <x:c r="R13" s="84"/>
      <x:c r="S13" s="84"/>
      <x:c r="T13" s="16" t="s">
        <x:v>65</x:v>
      </x:c>
      <x:c r="U13" s="57">
        <x:v>1</x:v>
      </x:c>
      <x:c r="V13" s="57"/>
      <x:c r="W13" s="79"/>
      <x:c r="X13" s="79"/>
      <x:c r="Y13" s="79"/>
      <x:c r="Z13" s="79"/>
      <x:c r="AA13" s="79"/>
      <x:c r="AB13" s="79"/>
      <x:c r="AC13" s="79"/>
      <x:c r="AD13" s="79"/>
      <x:c r="AE13" s="79"/>
      <x:c r="AF13" s="79"/>
      <x:c r="AG13" s="79"/>
      <x:c r="AH13" s="79"/>
      <x:c r="AI13" s="79"/>
      <x:c r="AJ13" s="79"/>
      <x:c r="AK13" s="79"/>
      <x:c r="AL13" s="79"/>
      <x:c r="AM13" s="49"/>
      <x:c r="AN13" s="49"/>
      <x:c r="AO13" s="49"/>
      <x:c r="AP13" s="49"/>
      <x:c r="AQ13" s="49"/>
      <x:c r="AR13" s="51"/>
    </x:row>
    <x:row r="14" spans="1:44" s="52" customFormat="1" outlineLevel="2">
      <x:c r="A14" s="47" t="s">
        <x:v>184</x:v>
      </x:c>
      <x:c r="B14" s="21"/>
      <x:c r="C14" s="22"/>
      <x:c r="D14" s="94" t="s">
        <x:v>116</x:v>
      </x:c>
      <x:c r="E14" s="95"/>
      <x:c r="F14" s="95"/>
      <x:c r="G14" s="95"/>
      <x:c r="H14" s="95"/>
      <x:c r="I14" s="95"/>
      <x:c r="J14" s="95"/>
      <x:c r="K14" s="96"/>
      <x:c r="L14" s="23"/>
      <x:c r="M14" s="14">
        <x:v>45845</x:v>
      </x:c>
      <x:c r="N14" s="14">
        <x:v>45849</x:v>
      </x:c>
      <x:c r="O14" s="79">
        <x:f t="shared" si="1"/>
        <x:v>5</x:v>
      </x:c>
      <x:c r="P14" s="79">
        <x:v>5</x:v>
      </x:c>
      <x:c r="Q14" s="20">
        <x:f t="shared" si="2"/>
        <x:v>1</x:v>
      </x:c>
      <x:c r="R14" s="79"/>
      <x:c r="S14" s="79"/>
      <x:c r="T14" s="16" t="s">
        <x:v>65</x:v>
      </x:c>
      <x:c r="U14" s="57">
        <x:v>1</x:v>
      </x:c>
      <x:c r="V14" s="57"/>
      <x:c r="W14" s="79"/>
      <x:c r="X14" s="79"/>
      <x:c r="Y14" s="79"/>
      <x:c r="Z14" s="79"/>
      <x:c r="AA14" s="79"/>
      <x:c r="AB14" s="79"/>
      <x:c r="AC14" s="79"/>
      <x:c r="AD14" s="79"/>
      <x:c r="AE14" s="79"/>
      <x:c r="AF14" s="79"/>
      <x:c r="AG14" s="79"/>
      <x:c r="AH14" s="79"/>
      <x:c r="AI14" s="79"/>
      <x:c r="AJ14" s="79"/>
      <x:c r="AK14" s="79"/>
      <x:c r="AL14" s="79"/>
      <x:c r="AM14" s="49"/>
      <x:c r="AN14" s="49"/>
      <x:c r="AO14" s="49"/>
      <x:c r="AP14" s="49"/>
      <x:c r="AQ14" s="49"/>
      <x:c r="AR14" s="51"/>
    </x:row>
    <x:row r="15" spans="1:44" s="52" customFormat="1" outlineLevel="2">
      <x:c r="A15" s="47" t="s">
        <x:v>208</x:v>
      </x:c>
      <x:c r="B15" s="21"/>
      <x:c r="C15" s="22"/>
      <x:c r="D15" s="94" t="s">
        <x:v>74</x:v>
      </x:c>
      <x:c r="E15" s="95"/>
      <x:c r="F15" s="95"/>
      <x:c r="G15" s="95"/>
      <x:c r="H15" s="95"/>
      <x:c r="I15" s="95"/>
      <x:c r="J15" s="95"/>
      <x:c r="K15" s="96"/>
      <x:c r="L15" s="23"/>
      <x:c r="M15" s="14">
        <x:v>45854</x:v>
      </x:c>
      <x:c r="N15" s="14">
        <x:v>45859</x:v>
      </x:c>
      <x:c r="O15" s="79">
        <x:f t="shared" si="1"/>
        <x:v>6</x:v>
      </x:c>
      <x:c r="P15" s="79">
        <x:v>6</x:v>
      </x:c>
      <x:c r="Q15" s="20">
        <x:f t="shared" si="2"/>
        <x:v>1</x:v>
      </x:c>
      <x:c r="R15" s="84"/>
      <x:c r="S15" s="84"/>
      <x:c r="T15" s="16" t="s">
        <x:v>65</x:v>
      </x:c>
      <x:c r="U15" s="57">
        <x:v>1</x:v>
      </x:c>
      <x:c r="V15" s="57"/>
      <x:c r="W15" s="79"/>
      <x:c r="X15" s="79"/>
      <x:c r="Y15" s="79"/>
      <x:c r="Z15" s="79"/>
      <x:c r="AA15" s="79"/>
      <x:c r="AB15" s="79"/>
      <x:c r="AC15" s="79"/>
      <x:c r="AD15" s="79"/>
      <x:c r="AE15" s="79"/>
      <x:c r="AF15" s="79"/>
      <x:c r="AG15" s="79"/>
      <x:c r="AH15" s="79"/>
      <x:c r="AI15" s="79"/>
      <x:c r="AJ15" s="79"/>
      <x:c r="AK15" s="79"/>
      <x:c r="AL15" s="79"/>
      <x:c r="AM15" s="49"/>
      <x:c r="AN15" s="49"/>
      <x:c r="AO15" s="49"/>
      <x:c r="AP15" s="49"/>
      <x:c r="AQ15" s="49"/>
      <x:c r="AR15" s="51"/>
    </x:row>
    <x:row r="16" spans="1:44" s="52" customFormat="1" outlineLevel="2">
      <x:c r="A16" s="47" t="s">
        <x:v>212</x:v>
      </x:c>
      <x:c r="B16" s="21"/>
      <x:c r="C16" s="22"/>
      <x:c r="D16" s="94" t="s">
        <x:v>76</x:v>
      </x:c>
      <x:c r="E16" s="95"/>
      <x:c r="F16" s="95"/>
      <x:c r="G16" s="95"/>
      <x:c r="H16" s="95"/>
      <x:c r="I16" s="95"/>
      <x:c r="J16" s="95"/>
      <x:c r="K16" s="96"/>
      <x:c r="L16" s="23"/>
      <x:c r="M16" s="14">
        <x:v>45859</x:v>
      </x:c>
      <x:c r="N16" s="14">
        <x:v>45860</x:v>
      </x:c>
      <x:c r="O16" s="79">
        <x:f t="shared" si="1"/>
        <x:v>2</x:v>
      </x:c>
      <x:c r="P16" s="79">
        <x:v>2</x:v>
      </x:c>
      <x:c r="Q16" s="20">
        <x:f t="shared" si="2"/>
        <x:v>1</x:v>
      </x:c>
      <x:c r="R16" s="84"/>
      <x:c r="S16" s="84"/>
      <x:c r="T16" s="16" t="s">
        <x:v>65</x:v>
      </x:c>
      <x:c r="U16" s="57">
        <x:v>1</x:v>
      </x:c>
      <x:c r="V16" s="57"/>
      <x:c r="W16" s="79"/>
      <x:c r="X16" s="79"/>
      <x:c r="Y16" s="79"/>
      <x:c r="Z16" s="79"/>
      <x:c r="AA16" s="79"/>
      <x:c r="AB16" s="79"/>
      <x:c r="AC16" s="79"/>
      <x:c r="AD16" s="79"/>
      <x:c r="AE16" s="79"/>
      <x:c r="AF16" s="79"/>
      <x:c r="AG16" s="79"/>
      <x:c r="AH16" s="79"/>
      <x:c r="AI16" s="79"/>
      <x:c r="AJ16" s="79"/>
      <x:c r="AK16" s="79"/>
      <x:c r="AL16" s="79"/>
      <x:c r="AM16" s="49"/>
      <x:c r="AN16" s="49"/>
      <x:c r="AO16" s="49"/>
      <x:c r="AP16" s="49"/>
      <x:c r="AQ16" s="49"/>
      <x:c r="AR16" s="51"/>
    </x:row>
    <x:row r="17" spans="1:44" s="52" customFormat="1" outlineLevel="1">
      <x:c r="A17" s="47" t="s">
        <x:v>32</x:v>
      </x:c>
      <x:c r="B17" s="17"/>
      <x:c r="C17" s="97" t="s">
        <x:v>179</x:v>
      </x:c>
      <x:c r="D17" s="98"/>
      <x:c r="E17" s="98"/>
      <x:c r="F17" s="98"/>
      <x:c r="G17" s="98"/>
      <x:c r="H17" s="98"/>
      <x:c r="I17" s="98"/>
      <x:c r="J17" s="98"/>
      <x:c r="K17" s="99"/>
      <x:c r="L17" s="18"/>
      <x:c r="M17" s="14">
        <x:v>45845</x:v>
      </x:c>
      <x:c r="N17" s="14">
        <x:v>45859</x:v>
      </x:c>
      <x:c r="O17" s="79">
        <x:f t="shared" si="1"/>
        <x:v>15</x:v>
      </x:c>
      <x:c r="P17" s="79">
        <x:v>15</x:v>
      </x:c>
      <x:c r="Q17" s="20">
        <x:f t="shared" si="2"/>
        <x:v>1</x:v>
      </x:c>
      <x:c r="R17" s="84"/>
      <x:c r="S17" s="84"/>
      <x:c r="T17" s="16" t="s">
        <x:v>65</x:v>
      </x:c>
      <x:c r="U17" s="57">
        <x:v>1</x:v>
      </x:c>
      <x:c r="V17" s="57"/>
      <x:c r="W17" s="79"/>
      <x:c r="X17" s="79"/>
      <x:c r="Y17" s="79"/>
      <x:c r="Z17" s="79"/>
      <x:c r="AA17" s="79"/>
      <x:c r="AB17" s="79"/>
      <x:c r="AC17" s="79"/>
      <x:c r="AD17" s="79"/>
      <x:c r="AE17" s="79"/>
      <x:c r="AF17" s="79"/>
      <x:c r="AG17" s="79"/>
      <x:c r="AH17" s="79"/>
      <x:c r="AI17" s="79"/>
      <x:c r="AJ17" s="79"/>
      <x:c r="AK17" s="79"/>
      <x:c r="AL17" s="79"/>
      <x:c r="AM17" s="49"/>
      <x:c r="AN17" s="49"/>
      <x:c r="AO17" s="49"/>
      <x:c r="AP17" s="49"/>
      <x:c r="AQ17" s="49"/>
      <x:c r="AR17" s="51"/>
    </x:row>
    <x:row r="18" spans="1:44" s="52" customFormat="1" outlineLevel="2">
      <x:c r="A18" s="47" t="s">
        <x:v>154</x:v>
      </x:c>
      <x:c r="B18" s="21"/>
      <x:c r="C18" s="22"/>
      <x:c r="D18" s="94" t="s">
        <x:v>251</x:v>
      </x:c>
      <x:c r="E18" s="95"/>
      <x:c r="F18" s="95"/>
      <x:c r="G18" s="95"/>
      <x:c r="H18" s="95"/>
      <x:c r="I18" s="95"/>
      <x:c r="J18" s="95"/>
      <x:c r="K18" s="96"/>
      <x:c r="L18" s="23"/>
      <x:c r="M18" s="14">
        <x:v>45849</x:v>
      </x:c>
      <x:c r="N18" s="14">
        <x:v>45853</x:v>
      </x:c>
      <x:c r="O18" s="79">
        <x:f t="shared" si="1"/>
        <x:v>5</x:v>
      </x:c>
      <x:c r="P18" s="79">
        <x:v>5</x:v>
      </x:c>
      <x:c r="Q18" s="20">
        <x:f t="shared" si="2"/>
        <x:v>1</x:v>
      </x:c>
      <x:c r="R18" s="84"/>
      <x:c r="S18" s="84"/>
      <x:c r="T18" s="16" t="s">
        <x:v>65</x:v>
      </x:c>
      <x:c r="U18" s="57">
        <x:v>1</x:v>
      </x:c>
      <x:c r="V18" s="57"/>
      <x:c r="W18" s="79"/>
      <x:c r="X18" s="79"/>
      <x:c r="Y18" s="79"/>
      <x:c r="Z18" s="79"/>
      <x:c r="AA18" s="79"/>
      <x:c r="AB18" s="79"/>
      <x:c r="AC18" s="79"/>
      <x:c r="AD18" s="79"/>
      <x:c r="AE18" s="79"/>
      <x:c r="AF18" s="79"/>
      <x:c r="AG18" s="79"/>
      <x:c r="AH18" s="79"/>
      <x:c r="AI18" s="79"/>
      <x:c r="AJ18" s="79"/>
      <x:c r="AK18" s="79"/>
      <x:c r="AL18" s="79"/>
      <x:c r="AM18" s="49"/>
      <x:c r="AN18" s="49"/>
      <x:c r="AO18" s="49"/>
      <x:c r="AP18" s="49"/>
      <x:c r="AQ18" s="49"/>
      <x:c r="AR18" s="51"/>
    </x:row>
    <x:row r="19" spans="1:44" s="52" customFormat="1" outlineLevel="2">
      <x:c r="A19" s="47" t="s">
        <x:v>236</x:v>
      </x:c>
      <x:c r="B19" s="21"/>
      <x:c r="C19" s="22"/>
      <x:c r="D19" s="94" t="s">
        <x:v>125</x:v>
      </x:c>
      <x:c r="E19" s="95"/>
      <x:c r="F19" s="95"/>
      <x:c r="G19" s="95"/>
      <x:c r="H19" s="95"/>
      <x:c r="I19" s="95"/>
      <x:c r="J19" s="95"/>
      <x:c r="K19" s="96"/>
      <x:c r="L19" s="23"/>
      <x:c r="M19" s="14">
        <x:v>45849</x:v>
      </x:c>
      <x:c r="N19" s="14">
        <x:v>45853</x:v>
      </x:c>
      <x:c r="O19" s="79">
        <x:f t="shared" si="1"/>
        <x:v>5</x:v>
      </x:c>
      <x:c r="P19" s="79">
        <x:v>5</x:v>
      </x:c>
      <x:c r="Q19" s="20">
        <x:f t="shared" si="2"/>
        <x:v>1</x:v>
      </x:c>
      <x:c r="R19" s="84"/>
      <x:c r="S19" s="84"/>
      <x:c r="T19" s="16" t="s">
        <x:v>65</x:v>
      </x:c>
      <x:c r="U19" s="57">
        <x:v>1</x:v>
      </x:c>
      <x:c r="V19" s="57"/>
      <x:c r="W19" s="79"/>
      <x:c r="X19" s="79"/>
      <x:c r="Y19" s="79"/>
      <x:c r="Z19" s="79"/>
      <x:c r="AA19" s="79"/>
      <x:c r="AB19" s="79"/>
      <x:c r="AC19" s="79"/>
      <x:c r="AD19" s="79"/>
      <x:c r="AE19" s="79"/>
      <x:c r="AF19" s="79"/>
      <x:c r="AG19" s="79"/>
      <x:c r="AH19" s="79"/>
      <x:c r="AI19" s="79"/>
      <x:c r="AJ19" s="79"/>
      <x:c r="AK19" s="79"/>
      <x:c r="AL19" s="79"/>
      <x:c r="AM19" s="49"/>
      <x:c r="AN19" s="49"/>
      <x:c r="AO19" s="49"/>
      <x:c r="AP19" s="49"/>
      <x:c r="AQ19" s="49"/>
      <x:c r="AR19" s="51"/>
    </x:row>
    <x:row r="20" spans="1:44" s="52" customFormat="1" outlineLevel="2">
      <x:c r="A20" s="47" t="s">
        <x:v>233</x:v>
      </x:c>
      <x:c r="B20" s="21"/>
      <x:c r="C20" s="22"/>
      <x:c r="D20" s="94" t="s">
        <x:v>137</x:v>
      </x:c>
      <x:c r="E20" s="95"/>
      <x:c r="F20" s="95"/>
      <x:c r="G20" s="95"/>
      <x:c r="H20" s="95"/>
      <x:c r="I20" s="95"/>
      <x:c r="J20" s="95"/>
      <x:c r="K20" s="96"/>
      <x:c r="L20" s="23"/>
      <x:c r="M20" s="14">
        <x:v>45845</x:v>
      </x:c>
      <x:c r="N20" s="14">
        <x:v>45849</x:v>
      </x:c>
      <x:c r="O20" s="79">
        <x:f t="shared" si="1"/>
        <x:v>5</x:v>
      </x:c>
      <x:c r="P20" s="79">
        <x:v>5</x:v>
      </x:c>
      <x:c r="Q20" s="20">
        <x:f t="shared" si="2"/>
        <x:v>1</x:v>
      </x:c>
      <x:c r="R20" s="79"/>
      <x:c r="S20" s="79"/>
      <x:c r="T20" s="16" t="s">
        <x:v>65</x:v>
      </x:c>
      <x:c r="U20" s="57">
        <x:v>1</x:v>
      </x:c>
      <x:c r="V20" s="57"/>
      <x:c r="W20" s="79"/>
      <x:c r="X20" s="79"/>
      <x:c r="Y20" s="79"/>
      <x:c r="Z20" s="79"/>
      <x:c r="AA20" s="79"/>
      <x:c r="AB20" s="79"/>
      <x:c r="AC20" s="79"/>
      <x:c r="AD20" s="79"/>
      <x:c r="AE20" s="79"/>
      <x:c r="AF20" s="79"/>
      <x:c r="AG20" s="79"/>
      <x:c r="AH20" s="79"/>
      <x:c r="AI20" s="79"/>
      <x:c r="AJ20" s="79"/>
      <x:c r="AK20" s="79"/>
      <x:c r="AL20" s="79"/>
      <x:c r="AM20" s="49"/>
      <x:c r="AN20" s="49"/>
      <x:c r="AO20" s="49"/>
      <x:c r="AP20" s="49"/>
      <x:c r="AQ20" s="49"/>
      <x:c r="AR20" s="51"/>
    </x:row>
    <x:row r="21" spans="1:44" s="52" customFormat="1" outlineLevel="2">
      <x:c r="A21" s="47" t="s">
        <x:v>233</x:v>
      </x:c>
      <x:c r="B21" s="21"/>
      <x:c r="C21" s="22"/>
      <x:c r="D21" s="94" t="s">
        <x:v>138</x:v>
      </x:c>
      <x:c r="E21" s="95"/>
      <x:c r="F21" s="95"/>
      <x:c r="G21" s="95"/>
      <x:c r="H21" s="95"/>
      <x:c r="I21" s="95"/>
      <x:c r="J21" s="95"/>
      <x:c r="K21" s="96"/>
      <x:c r="L21" s="23"/>
      <x:c r="M21" s="14">
        <x:v>45846</x:v>
      </x:c>
      <x:c r="N21" s="14">
        <x:v>45859</x:v>
      </x:c>
      <x:c r="O21" s="79">
        <x:f t="shared" si="1"/>
        <x:v>14</x:v>
      </x:c>
      <x:c r="P21" s="79">
        <x:v>14</x:v>
      </x:c>
      <x:c r="Q21" s="20">
        <x:f t="shared" si="2"/>
        <x:v>1</x:v>
      </x:c>
      <x:c r="R21" s="84"/>
      <x:c r="S21" s="84"/>
      <x:c r="T21" s="16" t="s">
        <x:v>65</x:v>
      </x:c>
      <x:c r="U21" s="57">
        <x:v>1</x:v>
      </x:c>
      <x:c r="V21" s="57"/>
      <x:c r="W21" s="79"/>
      <x:c r="X21" s="79"/>
      <x:c r="Y21" s="79"/>
      <x:c r="Z21" s="79"/>
      <x:c r="AA21" s="79"/>
      <x:c r="AB21" s="79"/>
      <x:c r="AC21" s="79"/>
      <x:c r="AD21" s="79"/>
      <x:c r="AE21" s="79"/>
      <x:c r="AF21" s="79"/>
      <x:c r="AG21" s="79"/>
      <x:c r="AH21" s="79"/>
      <x:c r="AI21" s="79"/>
      <x:c r="AJ21" s="79"/>
      <x:c r="AK21" s="79"/>
      <x:c r="AL21" s="79"/>
      <x:c r="AM21" s="49"/>
      <x:c r="AN21" s="49"/>
      <x:c r="AO21" s="49"/>
      <x:c r="AP21" s="49"/>
      <x:c r="AQ21" s="49"/>
      <x:c r="AR21" s="51"/>
    </x:row>
    <x:row r="22" spans="1:44" s="52" customFormat="1" outlineLevel="2">
      <x:c r="A22" s="47" t="s">
        <x:v>145</x:v>
      </x:c>
      <x:c r="B22" s="21"/>
      <x:c r="C22" s="22"/>
      <x:c r="D22" s="94" t="s">
        <x:v>120</x:v>
      </x:c>
      <x:c r="E22" s="95"/>
      <x:c r="F22" s="95"/>
      <x:c r="G22" s="95"/>
      <x:c r="H22" s="95"/>
      <x:c r="I22" s="95"/>
      <x:c r="J22" s="95"/>
      <x:c r="K22" s="96"/>
      <x:c r="L22" s="23"/>
      <x:c r="M22" s="14">
        <x:v>45849</x:v>
      </x:c>
      <x:c r="N22" s="14">
        <x:v>45851</x:v>
      </x:c>
      <x:c r="O22" s="79">
        <x:f>N22-M22+1</x:f>
        <x:v>3</x:v>
      </x:c>
      <x:c r="P22" s="87">
        <x:v>3</x:v>
      </x:c>
      <x:c r="Q22" s="88">
        <x:f t="shared" si="2"/>
        <x:v>1</x:v>
      </x:c>
      <x:c r="R22" s="87"/>
      <x:c r="S22" s="87"/>
      <x:c r="T22" s="16" t="s">
        <x:v>65</x:v>
      </x:c>
      <x:c r="U22" s="89">
        <x:v>1</x:v>
      </x:c>
      <x:c r="V22" s="89"/>
      <x:c r="W22" s="79"/>
      <x:c r="X22" s="79"/>
      <x:c r="Y22" s="79"/>
      <x:c r="Z22" s="79"/>
      <x:c r="AA22" s="79"/>
      <x:c r="AB22" s="79"/>
      <x:c r="AC22" s="79"/>
      <x:c r="AD22" s="79"/>
      <x:c r="AE22" s="79"/>
      <x:c r="AF22" s="79"/>
      <x:c r="AG22" s="79"/>
      <x:c r="AH22" s="79"/>
      <x:c r="AI22" s="79"/>
      <x:c r="AJ22" s="79"/>
      <x:c r="AK22" s="79"/>
      <x:c r="AL22" s="79"/>
      <x:c r="AM22" s="49"/>
      <x:c r="AN22" s="49"/>
      <x:c r="AO22" s="49"/>
      <x:c r="AP22" s="49"/>
      <x:c r="AQ22" s="49"/>
      <x:c r="AR22" s="51"/>
    </x:row>
    <x:row r="23" spans="1:44" s="52" customFormat="1" outlineLevel="2">
      <x:c r="A23" s="47" t="s">
        <x:v>143</x:v>
      </x:c>
      <x:c r="B23" s="21"/>
      <x:c r="C23" s="22"/>
      <x:c r="D23" s="94" t="s">
        <x:v>248</x:v>
      </x:c>
      <x:c r="E23" s="95"/>
      <x:c r="F23" s="95"/>
      <x:c r="G23" s="95"/>
      <x:c r="H23" s="95"/>
      <x:c r="I23" s="95"/>
      <x:c r="J23" s="95"/>
      <x:c r="K23" s="96"/>
      <x:c r="L23" s="23"/>
      <x:c r="M23" s="14">
        <x:v>45846</x:v>
      </x:c>
      <x:c r="N23" s="14">
        <x:v>45849</x:v>
      </x:c>
      <x:c r="O23" s="79">
        <x:f t="shared" si="1"/>
        <x:v>4</x:v>
      </x:c>
      <x:c r="P23" s="79">
        <x:v>4</x:v>
      </x:c>
      <x:c r="Q23" s="20">
        <x:f t="shared" si="2"/>
        <x:v>1</x:v>
      </x:c>
      <x:c r="R23" s="79"/>
      <x:c r="S23" s="79"/>
      <x:c r="T23" s="16" t="s">
        <x:v>65</x:v>
      </x:c>
      <x:c r="U23" s="57">
        <x:v>1</x:v>
      </x:c>
      <x:c r="V23" s="57"/>
      <x:c r="W23" s="79"/>
      <x:c r="X23" s="79"/>
      <x:c r="Y23" s="79"/>
      <x:c r="Z23" s="79"/>
      <x:c r="AA23" s="79"/>
      <x:c r="AB23" s="79"/>
      <x:c r="AC23" s="79"/>
      <x:c r="AD23" s="79"/>
      <x:c r="AE23" s="79"/>
      <x:c r="AF23" s="79"/>
      <x:c r="AG23" s="79"/>
      <x:c r="AH23" s="79"/>
      <x:c r="AI23" s="79"/>
      <x:c r="AJ23" s="79"/>
      <x:c r="AK23" s="79"/>
      <x:c r="AL23" s="79"/>
      <x:c r="AM23" s="49"/>
      <x:c r="AN23" s="49"/>
      <x:c r="AO23" s="49"/>
      <x:c r="AP23" s="49"/>
      <x:c r="AQ23" s="49"/>
      <x:c r="AR23" s="51"/>
    </x:row>
    <x:row r="24" spans="1:44" s="52" customFormat="1" outlineLevel="1">
      <x:c r="A24" s="47" t="s">
        <x:v>46</x:v>
      </x:c>
      <x:c r="B24" s="17"/>
      <x:c r="C24" s="97" t="s">
        <x:v>114</x:v>
      </x:c>
      <x:c r="D24" s="98"/>
      <x:c r="E24" s="98"/>
      <x:c r="F24" s="98"/>
      <x:c r="G24" s="98"/>
      <x:c r="H24" s="98"/>
      <x:c r="I24" s="98"/>
      <x:c r="J24" s="98"/>
      <x:c r="K24" s="99"/>
      <x:c r="L24" s="18"/>
      <x:c r="M24" s="14">
        <x:v>45846</x:v>
      </x:c>
      <x:c r="N24" s="14">
        <x:v>45849</x:v>
      </x:c>
      <x:c r="O24" s="79">
        <x:f t="shared" si="1"/>
        <x:v>4</x:v>
      </x:c>
      <x:c r="P24" s="79">
        <x:v>4</x:v>
      </x:c>
      <x:c r="Q24" s="20">
        <x:f t="shared" si="2"/>
        <x:v>1</x:v>
      </x:c>
      <x:c r="R24" s="84"/>
      <x:c r="S24" s="84"/>
      <x:c r="T24" s="16" t="s">
        <x:v>65</x:v>
      </x:c>
      <x:c r="U24" s="57">
        <x:v>1</x:v>
      </x:c>
      <x:c r="V24" s="57"/>
      <x:c r="W24" s="79"/>
      <x:c r="X24" s="79"/>
      <x:c r="Y24" s="79"/>
      <x:c r="Z24" s="79"/>
      <x:c r="AA24" s="79"/>
      <x:c r="AB24" s="79"/>
      <x:c r="AC24" s="79"/>
      <x:c r="AD24" s="79"/>
      <x:c r="AE24" s="79"/>
      <x:c r="AF24" s="79"/>
      <x:c r="AG24" s="79"/>
      <x:c r="AH24" s="79"/>
      <x:c r="AI24" s="79"/>
      <x:c r="AJ24" s="79"/>
      <x:c r="AK24" s="79"/>
      <x:c r="AL24" s="79"/>
      <x:c r="AM24" s="49"/>
      <x:c r="AN24" s="49"/>
      <x:c r="AO24" s="49"/>
      <x:c r="AP24" s="49"/>
      <x:c r="AQ24" s="49"/>
      <x:c r="AR24" s="51"/>
    </x:row>
    <x:row r="25" spans="1:44" s="52" customFormat="1" outlineLevel="2">
      <x:c r="A25" s="47" t="s">
        <x:v>230</x:v>
      </x:c>
      <x:c r="B25" s="21"/>
      <x:c r="C25" s="22"/>
      <x:c r="D25" s="94" t="s">
        <x:v>135</x:v>
      </x:c>
      <x:c r="E25" s="95"/>
      <x:c r="F25" s="95"/>
      <x:c r="G25" s="95"/>
      <x:c r="H25" s="95"/>
      <x:c r="I25" s="95"/>
      <x:c r="J25" s="95"/>
      <x:c r="K25" s="96"/>
      <x:c r="L25" s="23"/>
      <x:c r="M25" s="14">
        <x:v>45846</x:v>
      </x:c>
      <x:c r="N25" s="14">
        <x:v>45849</x:v>
      </x:c>
      <x:c r="O25" s="79">
        <x:f>N25-M25+1</x:f>
        <x:v>4</x:v>
      </x:c>
      <x:c r="P25" s="79">
        <x:v>4</x:v>
      </x:c>
      <x:c r="Q25" s="20">
        <x:f>P25/O25</x:f>
        <x:v>1</x:v>
      </x:c>
      <x:c r="R25" s="84"/>
      <x:c r="S25" s="84"/>
      <x:c r="T25" s="16" t="s">
        <x:v>65</x:v>
      </x:c>
      <x:c r="U25" s="57">
        <x:v>1</x:v>
      </x:c>
      <x:c r="V25" s="57"/>
      <x:c r="W25" s="79"/>
      <x:c r="X25" s="79"/>
      <x:c r="Y25" s="79"/>
      <x:c r="Z25" s="79"/>
      <x:c r="AA25" s="79"/>
      <x:c r="AB25" s="79"/>
      <x:c r="AC25" s="79"/>
      <x:c r="AD25" s="79"/>
      <x:c r="AE25" s="79"/>
      <x:c r="AF25" s="79"/>
      <x:c r="AG25" s="79"/>
      <x:c r="AH25" s="79"/>
      <x:c r="AI25" s="79"/>
      <x:c r="AJ25" s="79"/>
      <x:c r="AK25" s="79"/>
      <x:c r="AL25" s="79"/>
      <x:c r="AM25" s="49"/>
      <x:c r="AN25" s="49"/>
      <x:c r="AO25" s="49"/>
      <x:c r="AP25" s="49"/>
      <x:c r="AQ25" s="49"/>
      <x:c r="AR25" s="51"/>
    </x:row>
    <x:row r="26" spans="1:44">
      <x:c r="A26" s="46" t="s">
        <x:v>22</x:v>
      </x:c>
      <x:c r="B26" s="100" t="s">
        <x:v>14</x:v>
      </x:c>
      <x:c r="C26" s="101"/>
      <x:c r="D26" s="101"/>
      <x:c r="E26" s="101"/>
      <x:c r="F26" s="101"/>
      <x:c r="G26" s="101"/>
      <x:c r="H26" s="101"/>
      <x:c r="I26" s="101"/>
      <x:c r="J26" s="101"/>
      <x:c r="K26" s="102"/>
      <x:c r="L26" s="65"/>
      <x:c r="M26" s="14" t="s">
        <x:v>20</x:v>
      </x:c>
      <x:c r="N26" s="14" t="s">
        <x:v>20</x:v>
      </x:c>
      <x:c r="O26" s="78" t="e">
        <x:f>N26-M26+1</x:f>
        <x:v>#VALUE!</x:v>
      </x:c>
      <x:c r="P26" s="78"/>
      <x:c r="Q26" s="66" t="e">
        <x:f>P26/O26</x:f>
        <x:v>#VALUE!</x:v>
      </x:c>
      <x:c r="R26" s="78"/>
      <x:c r="S26" s="78"/>
      <x:c r="T26" s="83" t="s">
        <x:v>20</x:v>
      </x:c>
      <x:c r="U26" s="67">
        <x:v>0</x:v>
      </x:c>
      <x:c r="V26" s="67"/>
      <x:c r="W26" s="79"/>
      <x:c r="X26" s="79"/>
      <x:c r="Y26" s="79"/>
      <x:c r="Z26" s="79"/>
      <x:c r="AA26" s="79"/>
      <x:c r="AB26" s="79"/>
      <x:c r="AC26" s="79"/>
      <x:c r="AD26" s="79"/>
      <x:c r="AE26" s="79"/>
      <x:c r="AF26" s="79"/>
      <x:c r="AG26" s="79"/>
      <x:c r="AH26" s="79"/>
      <x:c r="AI26" s="79"/>
      <x:c r="AJ26" s="79"/>
      <x:c r="AK26" s="79"/>
      <x:c r="AL26" s="79"/>
      <x:c r="AM26" s="36"/>
      <x:c r="AN26" s="36"/>
      <x:c r="AO26" s="36"/>
      <x:c r="AP26" s="36"/>
      <x:c r="AQ26" s="36"/>
      <x:c r="AR26" s="1"/>
    </x:row>
    <x:row r="27" spans="1:44" s="52" customFormat="1" outlineLevel="1">
      <x:c r="A27" s="47" t="s">
        <x:v>16</x:v>
      </x:c>
      <x:c r="B27" s="17"/>
      <x:c r="C27" s="97" t="s">
        <x:v>85</x:v>
      </x:c>
      <x:c r="D27" s="98"/>
      <x:c r="E27" s="98"/>
      <x:c r="F27" s="98"/>
      <x:c r="G27" s="98"/>
      <x:c r="H27" s="98"/>
      <x:c r="I27" s="98"/>
      <x:c r="J27" s="98"/>
      <x:c r="K27" s="99"/>
      <x:c r="L27" s="18"/>
      <x:c r="M27" s="14">
        <x:v>45848</x:v>
      </x:c>
      <x:c r="N27" s="14">
        <x:v>45860</x:v>
      </x:c>
      <x:c r="O27" s="79">
        <x:f t="shared" si="1"/>
        <x:v>13</x:v>
      </x:c>
      <x:c r="P27" s="79">
        <x:v>13</x:v>
      </x:c>
      <x:c r="Q27" s="20">
        <x:f t="shared" si="2"/>
        <x:v>1</x:v>
      </x:c>
      <x:c r="R27" s="79"/>
      <x:c r="S27" s="79"/>
      <x:c r="T27" s="16" t="s">
        <x:v>68</x:v>
      </x:c>
      <x:c r="U27" s="57">
        <x:v>1</x:v>
      </x:c>
      <x:c r="V27" s="57"/>
      <x:c r="W27" s="79"/>
      <x:c r="X27" s="79"/>
      <x:c r="Y27" s="79"/>
      <x:c r="Z27" s="79"/>
      <x:c r="AA27" s="79"/>
      <x:c r="AB27" s="79"/>
      <x:c r="AC27" s="79"/>
      <x:c r="AD27" s="79"/>
      <x:c r="AE27" s="79"/>
      <x:c r="AF27" s="79"/>
      <x:c r="AG27" s="79"/>
      <x:c r="AH27" s="79"/>
      <x:c r="AI27" s="79"/>
      <x:c r="AJ27" s="79"/>
      <x:c r="AK27" s="79"/>
      <x:c r="AL27" s="79"/>
      <x:c r="AM27" s="49"/>
      <x:c r="AN27" s="49"/>
      <x:c r="AO27" s="49"/>
      <x:c r="AP27" s="49"/>
      <x:c r="AQ27" s="49"/>
      <x:c r="AR27" s="51"/>
    </x:row>
    <x:row r="28" spans="1:44" s="52" customFormat="1" outlineLevel="2">
      <x:c r="A28" s="47" t="s">
        <x:v>173</x:v>
      </x:c>
      <x:c r="B28" s="21"/>
      <x:c r="C28" s="22"/>
      <x:c r="D28" s="94" t="s">
        <x:v>106</x:v>
      </x:c>
      <x:c r="E28" s="95"/>
      <x:c r="F28" s="95"/>
      <x:c r="G28" s="95"/>
      <x:c r="H28" s="95"/>
      <x:c r="I28" s="95"/>
      <x:c r="J28" s="95"/>
      <x:c r="K28" s="96"/>
      <x:c r="L28" s="23"/>
      <x:c r="M28" s="14">
        <x:v>45851</x:v>
      </x:c>
      <x:c r="N28" s="14">
        <x:v>45860</x:v>
      </x:c>
      <x:c r="O28" s="79">
        <x:f t="shared" si="1"/>
        <x:v>10</x:v>
      </x:c>
      <x:c r="P28" s="79">
        <x:v>10</x:v>
      </x:c>
      <x:c r="Q28" s="20">
        <x:f t="shared" si="2"/>
        <x:v>1</x:v>
      </x:c>
      <x:c r="R28" s="84"/>
      <x:c r="S28" s="84"/>
      <x:c r="T28" s="16" t="s">
        <x:v>68</x:v>
      </x:c>
      <x:c r="U28" s="57">
        <x:v>1</x:v>
      </x:c>
      <x:c r="V28" s="57"/>
      <x:c r="W28" s="79"/>
      <x:c r="X28" s="79"/>
      <x:c r="Y28" s="79"/>
      <x:c r="Z28" s="79"/>
      <x:c r="AA28" s="79"/>
      <x:c r="AB28" s="79"/>
      <x:c r="AC28" s="79"/>
      <x:c r="AD28" s="79"/>
      <x:c r="AE28" s="79"/>
      <x:c r="AF28" s="79"/>
      <x:c r="AG28" s="79"/>
      <x:c r="AH28" s="79"/>
      <x:c r="AI28" s="79"/>
      <x:c r="AJ28" s="79"/>
      <x:c r="AK28" s="79"/>
      <x:c r="AL28" s="79"/>
      <x:c r="AM28" s="49"/>
      <x:c r="AN28" s="49"/>
      <x:c r="AO28" s="49"/>
      <x:c r="AP28" s="49"/>
      <x:c r="AQ28" s="49"/>
      <x:c r="AR28" s="51"/>
    </x:row>
    <x:row r="29" spans="1:44" s="52" customFormat="1" outlineLevel="2">
      <x:c r="A29" s="47" t="s">
        <x:v>150</x:v>
      </x:c>
      <x:c r="B29" s="21"/>
      <x:c r="C29" s="22"/>
      <x:c r="D29" s="94" t="s">
        <x:v>84</x:v>
      </x:c>
      <x:c r="E29" s="95"/>
      <x:c r="F29" s="95"/>
      <x:c r="G29" s="95"/>
      <x:c r="H29" s="95"/>
      <x:c r="I29" s="95"/>
      <x:c r="J29" s="95"/>
      <x:c r="K29" s="96"/>
      <x:c r="L29" s="23"/>
      <x:c r="M29" s="14">
        <x:v>45848</x:v>
      </x:c>
      <x:c r="N29" s="14">
        <x:v>45857</x:v>
      </x:c>
      <x:c r="O29" s="79">
        <x:f t="shared" si="1"/>
        <x:v>10</x:v>
      </x:c>
      <x:c r="P29" s="79">
        <x:v>10</x:v>
      </x:c>
      <x:c r="Q29" s="20">
        <x:f t="shared" si="2"/>
        <x:v>1</x:v>
      </x:c>
      <x:c r="R29" s="84"/>
      <x:c r="S29" s="84"/>
      <x:c r="T29" s="16" t="s">
        <x:v>59</x:v>
      </x:c>
      <x:c r="U29" s="57">
        <x:v>1</x:v>
      </x:c>
      <x:c r="V29" s="57"/>
      <x:c r="W29" s="79"/>
      <x:c r="X29" s="79"/>
      <x:c r="Y29" s="79"/>
      <x:c r="Z29" s="79"/>
      <x:c r="AA29" s="79"/>
      <x:c r="AB29" s="79"/>
      <x:c r="AC29" s="79"/>
      <x:c r="AD29" s="79"/>
      <x:c r="AE29" s="79"/>
      <x:c r="AF29" s="79"/>
      <x:c r="AG29" s="79"/>
      <x:c r="AH29" s="79"/>
      <x:c r="AI29" s="79"/>
      <x:c r="AJ29" s="79"/>
      <x:c r="AK29" s="79"/>
      <x:c r="AL29" s="79"/>
      <x:c r="AM29" s="49"/>
      <x:c r="AN29" s="49"/>
      <x:c r="AO29" s="49"/>
      <x:c r="AP29" s="49"/>
      <x:c r="AQ29" s="49"/>
      <x:c r="AR29" s="51"/>
    </x:row>
    <x:row r="30" spans="1:44" s="52" customFormat="1" outlineLevel="2">
      <x:c r="A30" s="47" t="s">
        <x:v>232</x:v>
      </x:c>
      <x:c r="B30" s="21"/>
      <x:c r="C30" s="22"/>
      <x:c r="D30" s="94" t="s">
        <x:v>75</x:v>
      </x:c>
      <x:c r="E30" s="95"/>
      <x:c r="F30" s="95"/>
      <x:c r="G30" s="95"/>
      <x:c r="H30" s="95"/>
      <x:c r="I30" s="95"/>
      <x:c r="J30" s="95"/>
      <x:c r="K30" s="96"/>
      <x:c r="L30" s="23"/>
      <x:c r="M30" s="14">
        <x:v>45851</x:v>
      </x:c>
      <x:c r="N30" s="14">
        <x:v>45856</x:v>
      </x:c>
      <x:c r="O30" s="79">
        <x:f t="shared" si="1"/>
        <x:v>6</x:v>
      </x:c>
      <x:c r="P30" s="79">
        <x:v>6</x:v>
      </x:c>
      <x:c r="Q30" s="20">
        <x:f t="shared" si="2"/>
        <x:v>1</x:v>
      </x:c>
      <x:c r="R30" s="84"/>
      <x:c r="S30" s="84"/>
      <x:c r="T30" s="16" t="s">
        <x:v>34</x:v>
      </x:c>
      <x:c r="U30" s="57">
        <x:v>1</x:v>
      </x:c>
      <x:c r="V30" s="57"/>
      <x:c r="W30" s="79"/>
      <x:c r="X30" s="79"/>
      <x:c r="Y30" s="79"/>
      <x:c r="Z30" s="79"/>
      <x:c r="AA30" s="79"/>
      <x:c r="AB30" s="79"/>
      <x:c r="AC30" s="79"/>
      <x:c r="AD30" s="79"/>
      <x:c r="AE30" s="79"/>
      <x:c r="AF30" s="79"/>
      <x:c r="AG30" s="79"/>
      <x:c r="AH30" s="79"/>
      <x:c r="AI30" s="79"/>
      <x:c r="AJ30" s="79"/>
      <x:c r="AK30" s="79"/>
      <x:c r="AL30" s="79"/>
      <x:c r="AM30" s="49"/>
      <x:c r="AN30" s="49"/>
      <x:c r="AO30" s="49"/>
      <x:c r="AP30" s="49"/>
      <x:c r="AQ30" s="49"/>
      <x:c r="AR30" s="51"/>
    </x:row>
    <x:row r="31" spans="1:44" s="52" customFormat="1" outlineLevel="1">
      <x:c r="A31" s="47" t="s">
        <x:v>42</x:v>
      </x:c>
      <x:c r="B31" s="17"/>
      <x:c r="C31" s="97" t="s">
        <x:v>169</x:v>
      </x:c>
      <x:c r="D31" s="98"/>
      <x:c r="E31" s="98"/>
      <x:c r="F31" s="98"/>
      <x:c r="G31" s="98"/>
      <x:c r="H31" s="98"/>
      <x:c r="I31" s="98"/>
      <x:c r="J31" s="98"/>
      <x:c r="K31" s="99"/>
      <x:c r="L31" s="18"/>
      <x:c r="M31" s="14">
        <x:v>45850</x:v>
      </x:c>
      <x:c r="N31" s="14" t="s">
        <x:v>20</x:v>
      </x:c>
      <x:c r="O31" s="79" t="e">
        <x:f t="shared" si="1"/>
        <x:v>#VALUE!</x:v>
      </x:c>
      <x:c r="P31" s="79" t="s">
        <x:v>20</x:v>
      </x:c>
      <x:c r="Q31" s="20" t="e">
        <x:f t="shared" si="2"/>
        <x:v>#VALUE!</x:v>
      </x:c>
      <x:c r="R31" s="79"/>
      <x:c r="S31" s="79"/>
      <x:c r="T31" s="16" t="s">
        <x:v>34</x:v>
      </x:c>
      <x:c r="U31" s="57">
        <x:v>0</x:v>
      </x:c>
      <x:c r="V31" s="57"/>
      <x:c r="W31" s="79"/>
      <x:c r="X31" s="79"/>
      <x:c r="Y31" s="79"/>
      <x:c r="Z31" s="79"/>
      <x:c r="AA31" s="79"/>
      <x:c r="AB31" s="79"/>
      <x:c r="AC31" s="79"/>
      <x:c r="AD31" s="79"/>
      <x:c r="AE31" s="79"/>
      <x:c r="AF31" s="79"/>
      <x:c r="AG31" s="79"/>
      <x:c r="AH31" s="79"/>
      <x:c r="AI31" s="79"/>
      <x:c r="AJ31" s="79"/>
      <x:c r="AK31" s="79"/>
      <x:c r="AL31" s="79"/>
      <x:c r="AM31" s="49"/>
      <x:c r="AN31" s="49"/>
      <x:c r="AO31" s="49"/>
      <x:c r="AP31" s="49"/>
      <x:c r="AQ31" s="49"/>
      <x:c r="AR31" s="51"/>
    </x:row>
    <x:row r="32" spans="1:44" s="52" customFormat="1" outlineLevel="2">
      <x:c r="A32" s="47" t="s">
        <x:v>141</x:v>
      </x:c>
      <x:c r="B32" s="21"/>
      <x:c r="C32" s="22"/>
      <x:c r="D32" s="94" t="s">
        <x:v>121</x:v>
      </x:c>
      <x:c r="E32" s="95"/>
      <x:c r="F32" s="95"/>
      <x:c r="G32" s="95"/>
      <x:c r="H32" s="95"/>
      <x:c r="I32" s="95"/>
      <x:c r="J32" s="95"/>
      <x:c r="K32" s="96"/>
      <x:c r="L32" s="23"/>
      <x:c r="M32" s="14">
        <x:v>45850</x:v>
      </x:c>
      <x:c r="N32" s="14">
        <x:v>45856</x:v>
      </x:c>
      <x:c r="O32" s="79">
        <x:f t="shared" si="1"/>
        <x:v>7</x:v>
      </x:c>
      <x:c r="P32" s="79">
        <x:v>7</x:v>
      </x:c>
      <x:c r="Q32" s="20">
        <x:f t="shared" si="2"/>
        <x:v>1</x:v>
      </x:c>
      <x:c r="R32" s="84"/>
      <x:c r="S32" s="84"/>
      <x:c r="T32" s="16" t="s">
        <x:v>34</x:v>
      </x:c>
      <x:c r="U32" s="57">
        <x:v>1</x:v>
      </x:c>
      <x:c r="V32" s="57"/>
      <x:c r="W32" s="79"/>
      <x:c r="X32" s="79"/>
      <x:c r="Y32" s="79"/>
      <x:c r="Z32" s="79"/>
      <x:c r="AA32" s="79"/>
      <x:c r="AB32" s="79"/>
      <x:c r="AC32" s="79"/>
      <x:c r="AD32" s="79"/>
      <x:c r="AE32" s="79"/>
      <x:c r="AF32" s="79"/>
      <x:c r="AG32" s="79"/>
      <x:c r="AH32" s="79"/>
      <x:c r="AI32" s="79"/>
      <x:c r="AJ32" s="79"/>
      <x:c r="AK32" s="79"/>
      <x:c r="AL32" s="79"/>
      <x:c r="AM32" s="49"/>
      <x:c r="AN32" s="49"/>
      <x:c r="AO32" s="49"/>
      <x:c r="AP32" s="49"/>
      <x:c r="AQ32" s="49"/>
      <x:c r="AR32" s="51"/>
    </x:row>
    <x:row r="33" spans="1:44" s="52" customFormat="1" outlineLevel="2">
      <x:c r="A33" s="47" t="s">
        <x:v>147</x:v>
      </x:c>
      <x:c r="B33" s="21"/>
      <x:c r="C33" s="22"/>
      <x:c r="D33" s="94" t="s">
        <x:v>118</x:v>
      </x:c>
      <x:c r="E33" s="95"/>
      <x:c r="F33" s="95"/>
      <x:c r="G33" s="95"/>
      <x:c r="H33" s="95"/>
      <x:c r="I33" s="95"/>
      <x:c r="J33" s="95"/>
      <x:c r="K33" s="96"/>
      <x:c r="L33" s="23"/>
      <x:c r="M33" s="14">
        <x:v>45854</x:v>
      </x:c>
      <x:c r="N33" s="14">
        <x:v>45858</x:v>
      </x:c>
      <x:c r="O33" s="79">
        <x:f t="shared" si="1"/>
        <x:v>5</x:v>
      </x:c>
      <x:c r="P33" s="79">
        <x:v>5</x:v>
      </x:c>
      <x:c r="Q33" s="20">
        <x:f t="shared" si="2"/>
        <x:v>1</x:v>
      </x:c>
      <x:c r="R33" s="84"/>
      <x:c r="S33" s="84"/>
      <x:c r="T33" s="16" t="s">
        <x:v>34</x:v>
      </x:c>
      <x:c r="U33" s="57">
        <x:v>1</x:v>
      </x:c>
      <x:c r="V33" s="57"/>
      <x:c r="W33" s="79"/>
      <x:c r="X33" s="79"/>
      <x:c r="Y33" s="79"/>
      <x:c r="Z33" s="79"/>
      <x:c r="AA33" s="79"/>
      <x:c r="AB33" s="79"/>
      <x:c r="AC33" s="79"/>
      <x:c r="AD33" s="79"/>
      <x:c r="AE33" s="79"/>
      <x:c r="AF33" s="79"/>
      <x:c r="AG33" s="79"/>
      <x:c r="AH33" s="79"/>
      <x:c r="AI33" s="79"/>
      <x:c r="AJ33" s="79"/>
      <x:c r="AK33" s="79"/>
      <x:c r="AL33" s="79"/>
      <x:c r="AM33" s="49"/>
      <x:c r="AN33" s="49"/>
      <x:c r="AO33" s="49"/>
      <x:c r="AP33" s="49"/>
      <x:c r="AQ33" s="49"/>
      <x:c r="AR33" s="51"/>
    </x:row>
    <x:row r="34" spans="1:44" s="52" customFormat="1" outlineLevel="2">
      <x:c r="A34" s="47" t="s">
        <x:v>225</x:v>
      </x:c>
      <x:c r="B34" s="21"/>
      <x:c r="C34" s="22"/>
      <x:c r="D34" s="94" t="s">
        <x:v>119</x:v>
      </x:c>
      <x:c r="E34" s="95"/>
      <x:c r="F34" s="95"/>
      <x:c r="G34" s="95"/>
      <x:c r="H34" s="95"/>
      <x:c r="I34" s="95"/>
      <x:c r="J34" s="95"/>
      <x:c r="K34" s="96"/>
      <x:c r="L34" s="23"/>
      <x:c r="M34" s="14" t="s">
        <x:v>20</x:v>
      </x:c>
      <x:c r="N34" s="14" t="s">
        <x:v>20</x:v>
      </x:c>
      <x:c r="O34" s="79" t="e">
        <x:f t="shared" si="1"/>
        <x:v>#VALUE!</x:v>
      </x:c>
      <x:c r="P34" s="79" t="s">
        <x:v>20</x:v>
      </x:c>
      <x:c r="Q34" s="20" t="e">
        <x:f t="shared" si="2"/>
        <x:v>#VALUE!</x:v>
      </x:c>
      <x:c r="R34" s="84"/>
      <x:c r="S34" s="84"/>
      <x:c r="T34" s="16"/>
      <x:c r="U34" s="57">
        <x:v>0</x:v>
      </x:c>
      <x:c r="V34" s="57"/>
      <x:c r="W34" s="79"/>
      <x:c r="X34" s="79"/>
      <x:c r="Y34" s="79"/>
      <x:c r="Z34" s="79"/>
      <x:c r="AA34" s="79"/>
      <x:c r="AB34" s="79"/>
      <x:c r="AC34" s="79"/>
      <x:c r="AD34" s="79"/>
      <x:c r="AE34" s="79"/>
      <x:c r="AF34" s="79"/>
      <x:c r="AG34" s="79"/>
      <x:c r="AH34" s="79"/>
      <x:c r="AI34" s="79"/>
      <x:c r="AJ34" s="79"/>
      <x:c r="AK34" s="79"/>
      <x:c r="AL34" s="79"/>
      <x:c r="AM34" s="49"/>
      <x:c r="AN34" s="49"/>
      <x:c r="AO34" s="49"/>
      <x:c r="AP34" s="49"/>
      <x:c r="AQ34" s="49"/>
      <x:c r="AR34" s="51"/>
    </x:row>
    <x:row r="35" spans="1:44" s="52" customFormat="1" outlineLevel="2">
      <x:c r="A35" s="47" t="s">
        <x:v>172</x:v>
      </x:c>
      <x:c r="B35" s="21"/>
      <x:c r="C35" s="22"/>
      <x:c r="D35" s="94" t="s">
        <x:v>72</x:v>
      </x:c>
      <x:c r="E35" s="95"/>
      <x:c r="F35" s="95"/>
      <x:c r="G35" s="95"/>
      <x:c r="H35" s="95"/>
      <x:c r="I35" s="95"/>
      <x:c r="J35" s="95"/>
      <x:c r="K35" s="96"/>
      <x:c r="L35" s="23"/>
      <x:c r="M35" s="14" t="s">
        <x:v>20</x:v>
      </x:c>
      <x:c r="N35" s="14" t="s">
        <x:v>20</x:v>
      </x:c>
      <x:c r="O35" s="79" t="e">
        <x:f t="shared" si="1"/>
        <x:v>#VALUE!</x:v>
      </x:c>
      <x:c r="P35" s="79" t="s">
        <x:v>20</x:v>
      </x:c>
      <x:c r="Q35" s="20" t="e">
        <x:f t="shared" si="2"/>
        <x:v>#VALUE!</x:v>
      </x:c>
      <x:c r="R35" s="79"/>
      <x:c r="S35" s="79"/>
      <x:c r="T35" s="16"/>
      <x:c r="U35" s="57">
        <x:v>0</x:v>
      </x:c>
      <x:c r="V35" s="57"/>
      <x:c r="W35" s="79"/>
      <x:c r="X35" s="79"/>
      <x:c r="Y35" s="79"/>
      <x:c r="Z35" s="79"/>
      <x:c r="AA35" s="79"/>
      <x:c r="AB35" s="79"/>
      <x:c r="AC35" s="79"/>
      <x:c r="AD35" s="79"/>
      <x:c r="AE35" s="79"/>
      <x:c r="AF35" s="79"/>
      <x:c r="AG35" s="79"/>
      <x:c r="AH35" s="79"/>
      <x:c r="AI35" s="79"/>
      <x:c r="AJ35" s="79"/>
      <x:c r="AK35" s="79"/>
      <x:c r="AL35" s="79"/>
      <x:c r="AM35" s="49"/>
      <x:c r="AN35" s="49"/>
      <x:c r="AO35" s="49"/>
      <x:c r="AP35" s="49"/>
      <x:c r="AQ35" s="49"/>
      <x:c r="AR35" s="51"/>
    </x:row>
    <x:row r="36" spans="1:44" s="52" customFormat="1" outlineLevel="1">
      <x:c r="A36" s="47" t="s">
        <x:v>41</x:v>
      </x:c>
      <x:c r="B36" s="17"/>
      <x:c r="C36" s="97" t="s">
        <x:v>227</x:v>
      </x:c>
      <x:c r="D36" s="98"/>
      <x:c r="E36" s="98"/>
      <x:c r="F36" s="98"/>
      <x:c r="G36" s="98"/>
      <x:c r="H36" s="98"/>
      <x:c r="I36" s="98"/>
      <x:c r="J36" s="98"/>
      <x:c r="K36" s="99"/>
      <x:c r="L36" s="18"/>
      <x:c r="M36" s="14">
        <x:v>45849</x:v>
      </x:c>
      <x:c r="N36" s="14">
        <x:v>45859</x:v>
      </x:c>
      <x:c r="O36" s="79">
        <x:f t="shared" si="1"/>
        <x:v>11</x:v>
      </x:c>
      <x:c r="P36" s="79" t="s">
        <x:v>20</x:v>
      </x:c>
      <x:c r="Q36" s="20" t="e">
        <x:f t="shared" si="2"/>
        <x:v>#VALUE!</x:v>
      </x:c>
      <x:c r="R36" s="84"/>
      <x:c r="S36" s="84"/>
      <x:c r="T36" s="16" t="s">
        <x:v>68</x:v>
      </x:c>
      <x:c r="U36" s="57">
        <x:v>1</x:v>
      </x:c>
      <x:c r="V36" s="57"/>
      <x:c r="W36" s="79"/>
      <x:c r="X36" s="79"/>
      <x:c r="Y36" s="79"/>
      <x:c r="Z36" s="79"/>
      <x:c r="AA36" s="79"/>
      <x:c r="AB36" s="79"/>
      <x:c r="AC36" s="79"/>
      <x:c r="AD36" s="79"/>
      <x:c r="AE36" s="79"/>
      <x:c r="AF36" s="79"/>
      <x:c r="AG36" s="79"/>
      <x:c r="AH36" s="79"/>
      <x:c r="AI36" s="79"/>
      <x:c r="AJ36" s="79"/>
      <x:c r="AK36" s="79"/>
      <x:c r="AL36" s="79"/>
      <x:c r="AM36" s="49"/>
      <x:c r="AN36" s="49"/>
      <x:c r="AO36" s="49"/>
      <x:c r="AP36" s="49"/>
      <x:c r="AQ36" s="49"/>
      <x:c r="AR36" s="51"/>
    </x:row>
    <x:row r="37" spans="1:44" s="52" customFormat="1" outlineLevel="2">
      <x:c r="A37" s="47" t="s">
        <x:v>234</x:v>
      </x:c>
      <x:c r="B37" s="21"/>
      <x:c r="C37" s="22"/>
      <x:c r="D37" s="94" t="s">
        <x:v>109</x:v>
      </x:c>
      <x:c r="E37" s="95"/>
      <x:c r="F37" s="95"/>
      <x:c r="G37" s="95"/>
      <x:c r="H37" s="95"/>
      <x:c r="I37" s="95"/>
      <x:c r="J37" s="95"/>
      <x:c r="K37" s="96"/>
      <x:c r="L37" s="23"/>
      <x:c r="M37" s="14">
        <x:v>45849</x:v>
      </x:c>
      <x:c r="N37" s="14">
        <x:v>45857</x:v>
      </x:c>
      <x:c r="O37" s="79">
        <x:f t="shared" si="1"/>
        <x:v>9</x:v>
      </x:c>
      <x:c r="P37" s="79">
        <x:v>9</x:v>
      </x:c>
      <x:c r="Q37" s="20">
        <x:f t="shared" si="2"/>
        <x:v>1</x:v>
      </x:c>
      <x:c r="R37" s="84"/>
      <x:c r="S37" s="84"/>
      <x:c r="T37" s="16" t="s">
        <x:v>35</x:v>
      </x:c>
      <x:c r="U37" s="57">
        <x:v>1</x:v>
      </x:c>
      <x:c r="V37" s="57"/>
      <x:c r="W37" s="79"/>
      <x:c r="X37" s="79"/>
      <x:c r="Y37" s="79"/>
      <x:c r="Z37" s="79"/>
      <x:c r="AA37" s="79"/>
      <x:c r="AB37" s="79"/>
      <x:c r="AC37" s="79"/>
      <x:c r="AD37" s="79"/>
      <x:c r="AE37" s="79"/>
      <x:c r="AF37" s="79"/>
      <x:c r="AG37" s="79"/>
      <x:c r="AH37" s="79"/>
      <x:c r="AI37" s="79"/>
      <x:c r="AJ37" s="79"/>
      <x:c r="AK37" s="79"/>
      <x:c r="AL37" s="79"/>
      <x:c r="AM37" s="49"/>
      <x:c r="AN37" s="49"/>
      <x:c r="AO37" s="49"/>
      <x:c r="AP37" s="49"/>
      <x:c r="AQ37" s="49"/>
      <x:c r="AR37" s="51"/>
    </x:row>
    <x:row r="38" spans="1:44" s="52" customFormat="1" outlineLevel="2">
      <x:c r="A38" s="47" t="s">
        <x:v>140</x:v>
      </x:c>
      <x:c r="B38" s="21"/>
      <x:c r="C38" s="22"/>
      <x:c r="D38" s="94" t="s">
        <x:v>110</x:v>
      </x:c>
      <x:c r="E38" s="95"/>
      <x:c r="F38" s="95"/>
      <x:c r="G38" s="95"/>
      <x:c r="H38" s="95"/>
      <x:c r="I38" s="95"/>
      <x:c r="J38" s="95"/>
      <x:c r="K38" s="96"/>
      <x:c r="L38" s="23"/>
      <x:c r="M38" s="14">
        <x:v>45849</x:v>
      </x:c>
      <x:c r="N38" s="14">
        <x:v>45856</x:v>
      </x:c>
      <x:c r="O38" s="79">
        <x:f t="shared" si="1"/>
        <x:v>8</x:v>
      </x:c>
      <x:c r="P38" s="79">
        <x:v>8</x:v>
      </x:c>
      <x:c r="Q38" s="20">
        <x:f t="shared" si="2"/>
        <x:v>1</x:v>
      </x:c>
      <x:c r="R38" s="84"/>
      <x:c r="S38" s="84"/>
      <x:c r="T38" s="16" t="s">
        <x:v>34</x:v>
      </x:c>
      <x:c r="U38" s="57">
        <x:v>1</x:v>
      </x:c>
      <x:c r="V38" s="57"/>
      <x:c r="W38" s="79"/>
      <x:c r="X38" s="79"/>
      <x:c r="Y38" s="79"/>
      <x:c r="Z38" s="79"/>
      <x:c r="AA38" s="79"/>
      <x:c r="AB38" s="79"/>
      <x:c r="AC38" s="79"/>
      <x:c r="AD38" s="79"/>
      <x:c r="AE38" s="79"/>
      <x:c r="AF38" s="79"/>
      <x:c r="AG38" s="79"/>
      <x:c r="AH38" s="79"/>
      <x:c r="AI38" s="79"/>
      <x:c r="AJ38" s="79"/>
      <x:c r="AK38" s="79"/>
      <x:c r="AL38" s="79"/>
      <x:c r="AM38" s="49"/>
      <x:c r="AN38" s="49"/>
      <x:c r="AO38" s="49"/>
      <x:c r="AP38" s="49"/>
      <x:c r="AQ38" s="49"/>
      <x:c r="AR38" s="51"/>
    </x:row>
    <x:row r="39" spans="1:44" s="52" customFormat="1" outlineLevel="2">
      <x:c r="A39" s="47" t="s">
        <x:v>190</x:v>
      </x:c>
      <x:c r="B39" s="21"/>
      <x:c r="C39" s="22"/>
      <x:c r="D39" s="94" t="s">
        <x:v>81</x:v>
      </x:c>
      <x:c r="E39" s="95"/>
      <x:c r="F39" s="95"/>
      <x:c r="G39" s="95"/>
      <x:c r="H39" s="95"/>
      <x:c r="I39" s="95"/>
      <x:c r="J39" s="95"/>
      <x:c r="K39" s="96"/>
      <x:c r="L39" s="23"/>
      <x:c r="M39" s="14">
        <x:v>45849</x:v>
      </x:c>
      <x:c r="N39" s="14">
        <x:v>45856</x:v>
      </x:c>
      <x:c r="O39" s="79">
        <x:f>N39-M39+1</x:f>
        <x:v>8</x:v>
      </x:c>
      <x:c r="P39" s="79">
        <x:v>8</x:v>
      </x:c>
      <x:c r="Q39" s="20">
        <x:f>P39/O39</x:f>
        <x:v>1</x:v>
      </x:c>
      <x:c r="R39" s="84"/>
      <x:c r="S39" s="84"/>
      <x:c r="T39" s="16" t="s">
        <x:v>35</x:v>
      </x:c>
      <x:c r="U39" s="57">
        <x:v>1</x:v>
      </x:c>
      <x:c r="V39" s="57"/>
      <x:c r="W39" s="79"/>
      <x:c r="X39" s="79"/>
      <x:c r="Y39" s="79"/>
      <x:c r="Z39" s="79"/>
      <x:c r="AA39" s="79"/>
      <x:c r="AB39" s="79"/>
      <x:c r="AC39" s="79"/>
      <x:c r="AD39" s="79"/>
      <x:c r="AE39" s="79"/>
      <x:c r="AF39" s="79"/>
      <x:c r="AG39" s="79"/>
      <x:c r="AH39" s="79"/>
      <x:c r="AI39" s="79"/>
      <x:c r="AJ39" s="79"/>
      <x:c r="AK39" s="79"/>
      <x:c r="AL39" s="79"/>
      <x:c r="AM39" s="49"/>
      <x:c r="AN39" s="49"/>
      <x:c r="AO39" s="49"/>
      <x:c r="AP39" s="49"/>
      <x:c r="AQ39" s="49"/>
      <x:c r="AR39" s="51"/>
    </x:row>
    <x:row r="40" spans="1:44" s="52" customFormat="1" outlineLevel="2">
      <x:c r="A40" s="47" t="s">
        <x:v>195</x:v>
      </x:c>
      <x:c r="B40" s="21"/>
      <x:c r="C40" s="22"/>
      <x:c r="D40" s="94" t="s">
        <x:v>87</x:v>
      </x:c>
      <x:c r="E40" s="95"/>
      <x:c r="F40" s="95"/>
      <x:c r="G40" s="95"/>
      <x:c r="H40" s="95"/>
      <x:c r="I40" s="95"/>
      <x:c r="J40" s="95"/>
      <x:c r="K40" s="96"/>
      <x:c r="L40" s="23"/>
      <x:c r="M40" s="14">
        <x:v>45849</x:v>
      </x:c>
      <x:c r="N40" s="14">
        <x:v>45858</x:v>
      </x:c>
      <x:c r="O40" s="79">
        <x:f t="shared" si="1"/>
        <x:v>10</x:v>
      </x:c>
      <x:c r="P40" s="79">
        <x:v>10</x:v>
      </x:c>
      <x:c r="Q40" s="20">
        <x:f t="shared" si="2"/>
        <x:v>1</x:v>
      </x:c>
      <x:c r="R40" s="84"/>
      <x:c r="S40" s="84"/>
      <x:c r="T40" s="16" t="s">
        <x:v>35</x:v>
      </x:c>
      <x:c r="U40" s="57">
        <x:v>1</x:v>
      </x:c>
      <x:c r="V40" s="57"/>
      <x:c r="W40" s="79"/>
      <x:c r="X40" s="79"/>
      <x:c r="Y40" s="79"/>
      <x:c r="Z40" s="79"/>
      <x:c r="AA40" s="79"/>
      <x:c r="AB40" s="79"/>
      <x:c r="AC40" s="79"/>
      <x:c r="AD40" s="79"/>
      <x:c r="AE40" s="79"/>
      <x:c r="AF40" s="79"/>
      <x:c r="AG40" s="79"/>
      <x:c r="AH40" s="79"/>
      <x:c r="AI40" s="79"/>
      <x:c r="AJ40" s="79"/>
      <x:c r="AK40" s="79"/>
      <x:c r="AL40" s="79"/>
      <x:c r="AM40" s="49"/>
      <x:c r="AN40" s="49"/>
      <x:c r="AO40" s="49"/>
      <x:c r="AP40" s="49"/>
      <x:c r="AQ40" s="49"/>
      <x:c r="AR40" s="51"/>
    </x:row>
    <x:row r="41" spans="1:44" s="52" customFormat="1" outlineLevel="2">
      <x:c r="A41" s="47" t="s">
        <x:v>167</x:v>
      </x:c>
      <x:c r="B41" s="21"/>
      <x:c r="C41" s="22"/>
      <x:c r="D41" s="94" t="s">
        <x:v>240</x:v>
      </x:c>
      <x:c r="E41" s="95"/>
      <x:c r="F41" s="95"/>
      <x:c r="G41" s="95"/>
      <x:c r="H41" s="95"/>
      <x:c r="I41" s="95"/>
      <x:c r="J41" s="95"/>
      <x:c r="K41" s="96"/>
      <x:c r="L41" s="23"/>
      <x:c r="M41" s="14">
        <x:v>45849</x:v>
      </x:c>
      <x:c r="N41" s="14">
        <x:v>45857</x:v>
      </x:c>
      <x:c r="O41" s="79">
        <x:f t="shared" si="1"/>
        <x:v>9</x:v>
      </x:c>
      <x:c r="P41" s="79">
        <x:v>9</x:v>
      </x:c>
      <x:c r="Q41" s="20">
        <x:f t="shared" si="2"/>
        <x:v>1</x:v>
      </x:c>
      <x:c r="R41" s="79"/>
      <x:c r="S41" s="79"/>
      <x:c r="T41" s="16" t="s">
        <x:v>68</x:v>
      </x:c>
      <x:c r="U41" s="57">
        <x:v>1</x:v>
      </x:c>
      <x:c r="V41" s="57"/>
      <x:c r="W41" s="79"/>
      <x:c r="X41" s="79"/>
      <x:c r="Y41" s="79"/>
      <x:c r="Z41" s="79"/>
      <x:c r="AA41" s="79"/>
      <x:c r="AB41" s="79"/>
      <x:c r="AC41" s="79"/>
      <x:c r="AD41" s="79"/>
      <x:c r="AE41" s="79"/>
      <x:c r="AF41" s="79"/>
      <x:c r="AG41" s="79"/>
      <x:c r="AH41" s="79"/>
      <x:c r="AI41" s="79"/>
      <x:c r="AJ41" s="79"/>
      <x:c r="AK41" s="79"/>
      <x:c r="AL41" s="79"/>
      <x:c r="AM41" s="49"/>
      <x:c r="AN41" s="49"/>
      <x:c r="AO41" s="49"/>
      <x:c r="AP41" s="49"/>
      <x:c r="AQ41" s="49"/>
      <x:c r="AR41" s="51"/>
    </x:row>
    <x:row r="42" spans="1:44" s="52" customFormat="1" outlineLevel="2">
      <x:c r="A42" s="47" t="s">
        <x:v>215</x:v>
      </x:c>
      <x:c r="B42" s="21"/>
      <x:c r="C42" s="22"/>
      <x:c r="D42" s="94" t="s">
        <x:v>82</x:v>
      </x:c>
      <x:c r="E42" s="95"/>
      <x:c r="F42" s="95"/>
      <x:c r="G42" s="95"/>
      <x:c r="H42" s="95"/>
      <x:c r="I42" s="95"/>
      <x:c r="J42" s="95"/>
      <x:c r="K42" s="96"/>
      <x:c r="L42" s="23"/>
      <x:c r="M42" s="14">
        <x:v>45851</x:v>
      </x:c>
      <x:c r="N42" s="14">
        <x:v>45859</x:v>
      </x:c>
      <x:c r="O42" s="79">
        <x:f t="shared" ref="O42:O46" si="3">N42-M42</x:f>
        <x:v>8</x:v>
      </x:c>
      <x:c r="P42" s="79">
        <x:v>8</x:v>
      </x:c>
      <x:c r="Q42" s="20">
        <x:f t="shared" si="2"/>
        <x:v>1</x:v>
      </x:c>
      <x:c r="R42" s="84"/>
      <x:c r="S42" s="84"/>
      <x:c r="T42" s="16" t="s">
        <x:v>68</x:v>
      </x:c>
      <x:c r="U42" s="57">
        <x:v>1</x:v>
      </x:c>
      <x:c r="V42" s="57"/>
      <x:c r="W42" s="79"/>
      <x:c r="X42" s="79"/>
      <x:c r="Y42" s="79"/>
      <x:c r="Z42" s="79"/>
      <x:c r="AA42" s="79"/>
      <x:c r="AB42" s="79"/>
      <x:c r="AC42" s="79"/>
      <x:c r="AD42" s="79"/>
      <x:c r="AE42" s="79"/>
      <x:c r="AF42" s="79"/>
      <x:c r="AG42" s="79"/>
      <x:c r="AH42" s="79"/>
      <x:c r="AI42" s="79"/>
      <x:c r="AJ42" s="79"/>
      <x:c r="AK42" s="79"/>
      <x:c r="AL42" s="79"/>
      <x:c r="AM42" s="49"/>
      <x:c r="AN42" s="49"/>
      <x:c r="AO42" s="49"/>
      <x:c r="AP42" s="49"/>
      <x:c r="AQ42" s="49"/>
      <x:c r="AR42" s="51"/>
    </x:row>
    <x:row r="43" spans="1:44" s="52" customFormat="1" outlineLevel="2">
      <x:c r="A43" s="47" t="s">
        <x:v>192</x:v>
      </x:c>
      <x:c r="B43" s="21"/>
      <x:c r="C43" s="22"/>
      <x:c r="D43" s="94" t="s">
        <x:v>101</x:v>
      </x:c>
      <x:c r="E43" s="95"/>
      <x:c r="F43" s="95"/>
      <x:c r="G43" s="95"/>
      <x:c r="H43" s="95"/>
      <x:c r="I43" s="95"/>
      <x:c r="J43" s="95"/>
      <x:c r="K43" s="96"/>
      <x:c r="L43" s="23"/>
      <x:c r="M43" s="14">
        <x:v>45851</x:v>
      </x:c>
      <x:c r="N43" s="14">
        <x:v>45859</x:v>
      </x:c>
      <x:c r="O43" s="79">
        <x:f t="shared" si="3"/>
        <x:v>8</x:v>
      </x:c>
      <x:c r="P43" s="79">
        <x:v>8</x:v>
      </x:c>
      <x:c r="Q43" s="20">
        <x:f t="shared" si="2"/>
        <x:v>1</x:v>
      </x:c>
      <x:c r="R43" s="84"/>
      <x:c r="S43" s="84"/>
      <x:c r="T43" s="16" t="s">
        <x:v>35</x:v>
      </x:c>
      <x:c r="U43" s="57">
        <x:v>1</x:v>
      </x:c>
      <x:c r="V43" s="57"/>
      <x:c r="W43" s="79"/>
      <x:c r="X43" s="79"/>
      <x:c r="Y43" s="79"/>
      <x:c r="Z43" s="79"/>
      <x:c r="AA43" s="79"/>
      <x:c r="AB43" s="79"/>
      <x:c r="AC43" s="79"/>
      <x:c r="AD43" s="79"/>
      <x:c r="AE43" s="79"/>
      <x:c r="AF43" s="79"/>
      <x:c r="AG43" s="79"/>
      <x:c r="AH43" s="79"/>
      <x:c r="AI43" s="79"/>
      <x:c r="AJ43" s="79"/>
      <x:c r="AK43" s="79"/>
      <x:c r="AL43" s="79"/>
      <x:c r="AM43" s="49"/>
      <x:c r="AN43" s="49"/>
      <x:c r="AO43" s="49"/>
      <x:c r="AP43" s="49"/>
      <x:c r="AQ43" s="49"/>
      <x:c r="AR43" s="51"/>
    </x:row>
    <x:row r="44" spans="1:44" s="52" customFormat="1" outlineLevel="1">
      <x:c r="A44" s="47" t="s">
        <x:v>55</x:v>
      </x:c>
      <x:c r="B44" s="17"/>
      <x:c r="C44" s="97" t="s">
        <x:v>88</x:v>
      </x:c>
      <x:c r="D44" s="98"/>
      <x:c r="E44" s="98"/>
      <x:c r="F44" s="98"/>
      <x:c r="G44" s="98"/>
      <x:c r="H44" s="98"/>
      <x:c r="I44" s="98"/>
      <x:c r="J44" s="98"/>
      <x:c r="K44" s="99"/>
      <x:c r="L44" s="18"/>
      <x:c r="M44" s="14">
        <x:v>45849</x:v>
      </x:c>
      <x:c r="N44" s="14">
        <x:v>45857</x:v>
      </x:c>
      <x:c r="O44" s="79">
        <x:f>N44-M44</x:f>
        <x:v>8</x:v>
      </x:c>
      <x:c r="P44" s="79">
        <x:v>8</x:v>
      </x:c>
      <x:c r="Q44" s="20">
        <x:f t="shared" si="2"/>
        <x:v>1</x:v>
      </x:c>
      <x:c r="R44" s="84"/>
      <x:c r="S44" s="84"/>
      <x:c r="T44" s="16" t="s">
        <x:v>59</x:v>
      </x:c>
      <x:c r="U44" s="57">
        <x:v>1</x:v>
      </x:c>
      <x:c r="V44" s="57"/>
      <x:c r="W44" s="79"/>
      <x:c r="X44" s="79"/>
      <x:c r="Y44" s="79"/>
      <x:c r="Z44" s="79"/>
      <x:c r="AA44" s="79"/>
      <x:c r="AB44" s="79"/>
      <x:c r="AC44" s="79"/>
      <x:c r="AD44" s="79"/>
      <x:c r="AE44" s="79"/>
      <x:c r="AF44" s="79"/>
      <x:c r="AG44" s="79"/>
      <x:c r="AH44" s="79"/>
      <x:c r="AI44" s="79"/>
      <x:c r="AJ44" s="79"/>
      <x:c r="AK44" s="79"/>
      <x:c r="AL44" s="79"/>
      <x:c r="AM44" s="49"/>
      <x:c r="AN44" s="49"/>
      <x:c r="AO44" s="49"/>
      <x:c r="AP44" s="49"/>
      <x:c r="AQ44" s="49"/>
      <x:c r="AR44" s="51"/>
    </x:row>
    <x:row r="45" spans="1:44" s="52" customFormat="1" outlineLevel="2">
      <x:c r="A45" s="47" t="s">
        <x:v>183</x:v>
      </x:c>
      <x:c r="B45" s="21"/>
      <x:c r="C45" s="22"/>
      <x:c r="D45" s="94" t="s">
        <x:v>247</x:v>
      </x:c>
      <x:c r="E45" s="95"/>
      <x:c r="F45" s="95"/>
      <x:c r="G45" s="95"/>
      <x:c r="H45" s="95"/>
      <x:c r="I45" s="95"/>
      <x:c r="J45" s="95"/>
      <x:c r="K45" s="96"/>
      <x:c r="L45" s="23"/>
      <x:c r="M45" s="14">
        <x:v>45849</x:v>
      </x:c>
      <x:c r="N45" s="14">
        <x:v>45857</x:v>
      </x:c>
      <x:c r="O45" s="79">
        <x:f>N45-M45</x:f>
        <x:v>8</x:v>
      </x:c>
      <x:c r="P45" s="79">
        <x:v>8</x:v>
      </x:c>
      <x:c r="Q45" s="20">
        <x:f t="shared" si="2"/>
        <x:v>1</x:v>
      </x:c>
      <x:c r="R45" s="84"/>
      <x:c r="S45" s="84"/>
      <x:c r="T45" s="16" t="s">
        <x:v>59</x:v>
      </x:c>
      <x:c r="U45" s="57">
        <x:v>1</x:v>
      </x:c>
      <x:c r="V45" s="57"/>
      <x:c r="W45" s="79"/>
      <x:c r="X45" s="79"/>
      <x:c r="Y45" s="79"/>
      <x:c r="Z45" s="79"/>
      <x:c r="AA45" s="79"/>
      <x:c r="AB45" s="79"/>
      <x:c r="AC45" s="79"/>
      <x:c r="AD45" s="79"/>
      <x:c r="AE45" s="79"/>
      <x:c r="AF45" s="79"/>
      <x:c r="AG45" s="79"/>
      <x:c r="AH45" s="79"/>
      <x:c r="AI45" s="79"/>
      <x:c r="AJ45" s="79"/>
      <x:c r="AK45" s="79"/>
      <x:c r="AL45" s="79"/>
      <x:c r="AM45" s="49"/>
      <x:c r="AN45" s="49"/>
      <x:c r="AO45" s="49"/>
      <x:c r="AP45" s="49"/>
      <x:c r="AQ45" s="49"/>
      <x:c r="AR45" s="51"/>
    </x:row>
    <x:row r="46" spans="1:44" s="52" customFormat="1" outlineLevel="2">
      <x:c r="A46" s="47" t="s">
        <x:v>181</x:v>
      </x:c>
      <x:c r="B46" s="21"/>
      <x:c r="C46" s="22"/>
      <x:c r="D46" s="94" t="s">
        <x:v>90</x:v>
      </x:c>
      <x:c r="E46" s="95"/>
      <x:c r="F46" s="95"/>
      <x:c r="G46" s="95"/>
      <x:c r="H46" s="95"/>
      <x:c r="I46" s="95"/>
      <x:c r="J46" s="95"/>
      <x:c r="K46" s="96"/>
      <x:c r="L46" s="23"/>
      <x:c r="M46" s="14">
        <x:v>45849</x:v>
      </x:c>
      <x:c r="N46" s="14">
        <x:v>45857</x:v>
      </x:c>
      <x:c r="O46" s="79">
        <x:f t="shared" si="3"/>
        <x:v>8</x:v>
      </x:c>
      <x:c r="P46" s="79">
        <x:v>8</x:v>
      </x:c>
      <x:c r="Q46" s="20">
        <x:f t="shared" si="2"/>
        <x:v>1</x:v>
      </x:c>
      <x:c r="R46" s="84"/>
      <x:c r="S46" s="84"/>
      <x:c r="T46" s="16" t="s">
        <x:v>59</x:v>
      </x:c>
      <x:c r="U46" s="57">
        <x:v>1</x:v>
      </x:c>
      <x:c r="V46" s="57"/>
      <x:c r="W46" s="79"/>
      <x:c r="X46" s="79"/>
      <x:c r="Y46" s="79"/>
      <x:c r="Z46" s="79"/>
      <x:c r="AA46" s="79"/>
      <x:c r="AB46" s="79"/>
      <x:c r="AC46" s="79"/>
      <x:c r="AD46" s="79"/>
      <x:c r="AE46" s="79"/>
      <x:c r="AF46" s="79"/>
      <x:c r="AG46" s="79"/>
      <x:c r="AH46" s="79"/>
      <x:c r="AI46" s="79"/>
      <x:c r="AJ46" s="79"/>
      <x:c r="AK46" s="79"/>
      <x:c r="AL46" s="79"/>
      <x:c r="AM46" s="49"/>
      <x:c r="AN46" s="49"/>
      <x:c r="AO46" s="49"/>
      <x:c r="AP46" s="49"/>
      <x:c r="AQ46" s="49"/>
      <x:c r="AR46" s="51"/>
    </x:row>
    <x:row r="47" spans="1:44" s="52" customFormat="1" outlineLevel="2">
      <x:c r="A47" s="47" t="s">
        <x:v>185</x:v>
      </x:c>
      <x:c r="B47" s="21"/>
      <x:c r="C47" s="22"/>
      <x:c r="D47" s="94" t="s">
        <x:v>89</x:v>
      </x:c>
      <x:c r="E47" s="95"/>
      <x:c r="F47" s="95"/>
      <x:c r="G47" s="95"/>
      <x:c r="H47" s="95"/>
      <x:c r="I47" s="95"/>
      <x:c r="J47" s="95"/>
      <x:c r="K47" s="96"/>
      <x:c r="L47" s="23"/>
      <x:c r="M47" s="14">
        <x:v>45849</x:v>
      </x:c>
      <x:c r="N47" s="14">
        <x:v>45857</x:v>
      </x:c>
      <x:c r="O47" s="79">
        <x:f>N47-M47+1</x:f>
        <x:v>9</x:v>
      </x:c>
      <x:c r="P47" s="79">
        <x:v>9</x:v>
      </x:c>
      <x:c r="Q47" s="20">
        <x:f>P47/O47</x:f>
        <x:v>1</x:v>
      </x:c>
      <x:c r="R47" s="79"/>
      <x:c r="S47" s="79"/>
      <x:c r="T47" s="16" t="s">
        <x:v>63</x:v>
      </x:c>
      <x:c r="U47" s="56">
        <x:v>1</x:v>
      </x:c>
      <x:c r="V47" s="56"/>
      <x:c r="W47" s="79"/>
      <x:c r="X47" s="79"/>
      <x:c r="Y47" s="79"/>
      <x:c r="Z47" s="79"/>
      <x:c r="AA47" s="79"/>
      <x:c r="AB47" s="79"/>
      <x:c r="AC47" s="79"/>
      <x:c r="AD47" s="79"/>
      <x:c r="AE47" s="79"/>
      <x:c r="AF47" s="79"/>
      <x:c r="AG47" s="79"/>
      <x:c r="AH47" s="79"/>
      <x:c r="AI47" s="79"/>
      <x:c r="AJ47" s="79"/>
      <x:c r="AK47" s="79"/>
      <x:c r="AL47" s="79"/>
      <x:c r="AM47" s="49"/>
      <x:c r="AN47" s="49"/>
      <x:c r="AO47" s="49"/>
      <x:c r="AP47" s="49"/>
      <x:c r="AQ47" s="49"/>
      <x:c r="AR47" s="51"/>
    </x:row>
    <x:row r="48" spans="1:44" s="52" customFormat="1" outlineLevel="2">
      <x:c r="A48" s="47" t="s">
        <x:v>189</x:v>
      </x:c>
      <x:c r="B48" s="21"/>
      <x:c r="C48" s="22"/>
      <x:c r="D48" s="94" t="s">
        <x:v>80</x:v>
      </x:c>
      <x:c r="E48" s="95"/>
      <x:c r="F48" s="95"/>
      <x:c r="G48" s="95"/>
      <x:c r="H48" s="95"/>
      <x:c r="I48" s="95"/>
      <x:c r="J48" s="95"/>
      <x:c r="K48" s="96"/>
      <x:c r="L48" s="23"/>
      <x:c r="M48" s="14">
        <x:v>45849</x:v>
      </x:c>
      <x:c r="N48" s="14">
        <x:v>45857</x:v>
      </x:c>
      <x:c r="O48" s="79">
        <x:f t="shared" si="1"/>
        <x:v>9</x:v>
      </x:c>
      <x:c r="P48" s="79">
        <x:v>9</x:v>
      </x:c>
      <x:c r="Q48" s="20">
        <x:f t="shared" si="2"/>
        <x:v>1</x:v>
      </x:c>
      <x:c r="R48" s="79"/>
      <x:c r="S48" s="79"/>
      <x:c r="T48" s="16" t="s">
        <x:v>63</x:v>
      </x:c>
      <x:c r="U48" s="57">
        <x:v>1</x:v>
      </x:c>
      <x:c r="V48" s="57"/>
      <x:c r="W48" s="79"/>
      <x:c r="X48" s="79"/>
      <x:c r="Y48" s="79"/>
      <x:c r="Z48" s="79"/>
      <x:c r="AA48" s="79"/>
      <x:c r="AB48" s="79"/>
      <x:c r="AC48" s="79"/>
      <x:c r="AD48" s="79"/>
      <x:c r="AE48" s="79"/>
      <x:c r="AF48" s="79"/>
      <x:c r="AG48" s="79"/>
      <x:c r="AH48" s="79"/>
      <x:c r="AI48" s="79"/>
      <x:c r="AJ48" s="79"/>
      <x:c r="AK48" s="79"/>
      <x:c r="AL48" s="79"/>
      <x:c r="AM48" s="49"/>
      <x:c r="AN48" s="49"/>
      <x:c r="AO48" s="49"/>
      <x:c r="AP48" s="49"/>
      <x:c r="AQ48" s="49"/>
      <x:c r="AR48" s="51"/>
    </x:row>
    <x:row r="49" spans="1:44">
      <x:c r="A49" s="46" t="s">
        <x:v>21</x:v>
      </x:c>
      <x:c r="B49" s="100" t="s">
        <x:v>8</x:v>
      </x:c>
      <x:c r="C49" s="101"/>
      <x:c r="D49" s="101"/>
      <x:c r="E49" s="101"/>
      <x:c r="F49" s="101"/>
      <x:c r="G49" s="101"/>
      <x:c r="H49" s="101"/>
      <x:c r="I49" s="101"/>
      <x:c r="J49" s="101"/>
      <x:c r="K49" s="102"/>
      <x:c r="L49" s="65"/>
      <x:c r="M49" s="14" t="s">
        <x:v>20</x:v>
      </x:c>
      <x:c r="N49" s="14" t="s">
        <x:v>20</x:v>
      </x:c>
      <x:c r="O49" s="78" t="e">
        <x:f>N49-M49+1</x:f>
        <x:v>#VALUE!</x:v>
      </x:c>
      <x:c r="P49" s="78" t="s">
        <x:v>20</x:v>
      </x:c>
      <x:c r="Q49" s="66" t="e">
        <x:f>P49/O49</x:f>
        <x:v>#VALUE!</x:v>
      </x:c>
      <x:c r="R49" s="78"/>
      <x:c r="S49" s="78"/>
      <x:c r="T49" s="83" t="s">
        <x:v>20</x:v>
      </x:c>
      <x:c r="U49" s="67">
        <x:v>0</x:v>
      </x:c>
      <x:c r="V49" s="67"/>
      <x:c r="W49" s="79"/>
      <x:c r="X49" s="79"/>
      <x:c r="Y49" s="79"/>
      <x:c r="Z49" s="79"/>
      <x:c r="AA49" s="79"/>
      <x:c r="AB49" s="79"/>
      <x:c r="AC49" s="79"/>
      <x:c r="AD49" s="79"/>
      <x:c r="AE49" s="79"/>
      <x:c r="AF49" s="79"/>
      <x:c r="AG49" s="79"/>
      <x:c r="AH49" s="79"/>
      <x:c r="AI49" s="79"/>
      <x:c r="AJ49" s="79"/>
      <x:c r="AK49" s="79"/>
      <x:c r="AL49" s="79"/>
      <x:c r="AM49" s="36"/>
      <x:c r="AN49" s="36"/>
      <x:c r="AO49" s="36"/>
      <x:c r="AP49" s="36"/>
      <x:c r="AQ49" s="36"/>
      <x:c r="AR49" s="1"/>
    </x:row>
    <x:row r="50" spans="1:44" s="52" customFormat="1" outlineLevel="1">
      <x:c r="A50" s="47" t="s">
        <x:v>53</x:v>
      </x:c>
      <x:c r="B50" s="17"/>
      <x:c r="C50" s="97" t="s">
        <x:v>216</x:v>
      </x:c>
      <x:c r="D50" s="98"/>
      <x:c r="E50" s="98"/>
      <x:c r="F50" s="98"/>
      <x:c r="G50" s="98"/>
      <x:c r="H50" s="98"/>
      <x:c r="I50" s="98"/>
      <x:c r="J50" s="98"/>
      <x:c r="K50" s="99"/>
      <x:c r="L50" s="18"/>
      <x:c r="M50" s="14">
        <x:v>45851</x:v>
      </x:c>
      <x:c r="N50" s="14">
        <x:v>45859</x:v>
      </x:c>
      <x:c r="O50" s="79">
        <x:f t="shared" si="1"/>
        <x:v>9</x:v>
      </x:c>
      <x:c r="P50" s="79">
        <x:v>9</x:v>
      </x:c>
      <x:c r="Q50" s="20">
        <x:f t="shared" si="2"/>
        <x:v>1</x:v>
      </x:c>
      <x:c r="R50" s="84"/>
      <x:c r="S50" s="84"/>
      <x:c r="T50" s="16" t="s">
        <x:v>34</x:v>
      </x:c>
      <x:c r="U50" s="57">
        <x:v>1</x:v>
      </x:c>
      <x:c r="V50" s="57"/>
      <x:c r="W50" s="79"/>
      <x:c r="X50" s="79"/>
      <x:c r="Y50" s="79"/>
      <x:c r="Z50" s="79"/>
      <x:c r="AA50" s="79"/>
      <x:c r="AB50" s="79"/>
      <x:c r="AC50" s="79"/>
      <x:c r="AD50" s="79"/>
      <x:c r="AE50" s="79"/>
      <x:c r="AF50" s="79"/>
      <x:c r="AG50" s="79"/>
      <x:c r="AH50" s="79"/>
      <x:c r="AI50" s="79"/>
      <x:c r="AJ50" s="79"/>
      <x:c r="AK50" s="79"/>
      <x:c r="AL50" s="79"/>
      <x:c r="AM50" s="49"/>
      <x:c r="AN50" s="49"/>
      <x:c r="AO50" s="49"/>
      <x:c r="AP50" s="49"/>
      <x:c r="AQ50" s="49"/>
      <x:c r="AR50" s="51"/>
    </x:row>
    <x:row r="51" spans="1:44" s="52" customFormat="1" outlineLevel="2">
      <x:c r="A51" s="47" t="s">
        <x:v>210</x:v>
      </x:c>
      <x:c r="B51" s="21"/>
      <x:c r="C51" s="22"/>
      <x:c r="D51" s="103" t="s">
        <x:v>257</x:v>
      </x:c>
      <x:c r="E51" s="95"/>
      <x:c r="F51" s="95"/>
      <x:c r="G51" s="95"/>
      <x:c r="H51" s="95"/>
      <x:c r="I51" s="95"/>
      <x:c r="J51" s="95"/>
      <x:c r="K51" s="96"/>
      <x:c r="L51" s="23"/>
      <x:c r="M51" s="14">
        <x:v>45851</x:v>
      </x:c>
      <x:c r="N51" s="14">
        <x:v>45859</x:v>
      </x:c>
      <x:c r="O51" s="79">
        <x:f t="shared" si="1"/>
        <x:v>9</x:v>
      </x:c>
      <x:c r="P51" s="79">
        <x:v>9</x:v>
      </x:c>
      <x:c r="Q51" s="20">
        <x:f t="shared" si="2"/>
        <x:v>1</x:v>
      </x:c>
      <x:c r="R51" s="79"/>
      <x:c r="S51" s="79"/>
      <x:c r="T51" s="16" t="s">
        <x:v>34</x:v>
      </x:c>
      <x:c r="U51" s="57">
        <x:v>1</x:v>
      </x:c>
      <x:c r="V51" s="57"/>
      <x:c r="W51" s="79"/>
      <x:c r="X51" s="79"/>
      <x:c r="Y51" s="79"/>
      <x:c r="Z51" s="79"/>
      <x:c r="AA51" s="79"/>
      <x:c r="AB51" s="79"/>
      <x:c r="AC51" s="79"/>
      <x:c r="AD51" s="79"/>
      <x:c r="AE51" s="79"/>
      <x:c r="AF51" s="79"/>
      <x:c r="AG51" s="79"/>
      <x:c r="AH51" s="79"/>
      <x:c r="AI51" s="79"/>
      <x:c r="AJ51" s="79"/>
      <x:c r="AK51" s="79"/>
      <x:c r="AL51" s="79"/>
      <x:c r="AM51" s="49"/>
      <x:c r="AN51" s="49"/>
      <x:c r="AO51" s="49"/>
      <x:c r="AP51" s="49"/>
      <x:c r="AQ51" s="49"/>
      <x:c r="AR51" s="51"/>
    </x:row>
    <x:row r="52" spans="1:44" s="52" customFormat="1" outlineLevel="2">
      <x:c r="A52" s="47" t="s">
        <x:v>158</x:v>
      </x:c>
      <x:c r="B52" s="21"/>
      <x:c r="C52" s="22"/>
      <x:c r="D52" s="77"/>
      <x:c r="E52" s="126" t="s">
        <x:v>0</x:v>
      </x:c>
      <x:c r="F52" s="126" t="s">
        <x:v>77</x:v>
      </x:c>
      <x:c r="G52" s="126" t="s">
        <x:v>77</x:v>
      </x:c>
      <x:c r="H52" s="126" t="s">
        <x:v>77</x:v>
      </x:c>
      <x:c r="I52" s="126" t="s">
        <x:v>77</x:v>
      </x:c>
      <x:c r="J52" s="126" t="s">
        <x:v>77</x:v>
      </x:c>
      <x:c r="K52" s="127" t="s">
        <x:v>77</x:v>
      </x:c>
      <x:c r="L52" s="23"/>
      <x:c r="M52" s="14">
        <x:v>45852</x:v>
      </x:c>
      <x:c r="N52" s="14">
        <x:v>45858</x:v>
      </x:c>
      <x:c r="O52" s="79">
        <x:f t="shared" si="1"/>
        <x:v>7</x:v>
      </x:c>
      <x:c r="P52" s="79">
        <x:v>7</x:v>
      </x:c>
      <x:c r="Q52" s="20">
        <x:f t="shared" si="2"/>
        <x:v>1</x:v>
      </x:c>
      <x:c r="R52" s="84"/>
      <x:c r="S52" s="84"/>
      <x:c r="T52" s="16" t="s">
        <x:v>34</x:v>
      </x:c>
      <x:c r="U52" s="57">
        <x:v>1</x:v>
      </x:c>
      <x:c r="V52" s="57"/>
      <x:c r="W52" s="79"/>
      <x:c r="X52" s="79"/>
      <x:c r="Y52" s="79"/>
      <x:c r="Z52" s="79"/>
      <x:c r="AA52" s="79"/>
      <x:c r="AB52" s="79"/>
      <x:c r="AC52" s="79"/>
      <x:c r="AD52" s="79"/>
      <x:c r="AE52" s="79"/>
      <x:c r="AF52" s="79"/>
      <x:c r="AG52" s="79"/>
      <x:c r="AH52" s="79"/>
      <x:c r="AI52" s="79"/>
      <x:c r="AJ52" s="79"/>
      <x:c r="AK52" s="79"/>
      <x:c r="AL52" s="79"/>
      <x:c r="AM52" s="49"/>
      <x:c r="AN52" s="49"/>
      <x:c r="AO52" s="49"/>
      <x:c r="AP52" s="49"/>
      <x:c r="AQ52" s="49"/>
      <x:c r="AR52" s="51"/>
    </x:row>
    <x:row r="53" spans="1:44" s="52" customFormat="1" outlineLevel="2">
      <x:c r="A53" s="47" t="s">
        <x:v>205</x:v>
      </x:c>
      <x:c r="B53" s="21"/>
      <x:c r="C53" s="22"/>
      <x:c r="D53" s="77" t="s">
        <x:v>20</x:v>
      </x:c>
      <x:c r="E53" s="126" t="s">
        <x:v>77</x:v>
      </x:c>
      <x:c r="F53" s="126" t="s">
        <x:v>77</x:v>
      </x:c>
      <x:c r="G53" s="126" t="s">
        <x:v>77</x:v>
      </x:c>
      <x:c r="H53" s="126" t="s">
        <x:v>77</x:v>
      </x:c>
      <x:c r="I53" s="126" t="s">
        <x:v>77</x:v>
      </x:c>
      <x:c r="J53" s="126" t="s">
        <x:v>77</x:v>
      </x:c>
      <x:c r="K53" s="127" t="s">
        <x:v>77</x:v>
      </x:c>
      <x:c r="L53" s="23"/>
      <x:c r="M53" s="14">
        <x:v>45852</x:v>
      </x:c>
      <x:c r="N53" s="14">
        <x:v>45859</x:v>
      </x:c>
      <x:c r="O53" s="79">
        <x:f t="shared" si="1"/>
        <x:v>8</x:v>
      </x:c>
      <x:c r="P53" s="79">
        <x:v>8</x:v>
      </x:c>
      <x:c r="Q53" s="20">
        <x:f t="shared" si="2"/>
        <x:v>1</x:v>
      </x:c>
      <x:c r="R53" s="84"/>
      <x:c r="S53" s="84"/>
      <x:c r="T53" s="16" t="s">
        <x:v>34</x:v>
      </x:c>
      <x:c r="U53" s="57">
        <x:v>1</x:v>
      </x:c>
      <x:c r="V53" s="57"/>
      <x:c r="W53" s="79"/>
      <x:c r="X53" s="79"/>
      <x:c r="Y53" s="79"/>
      <x:c r="Z53" s="79"/>
      <x:c r="AA53" s="79"/>
      <x:c r="AB53" s="79"/>
      <x:c r="AC53" s="79"/>
      <x:c r="AD53" s="79"/>
      <x:c r="AE53" s="79"/>
      <x:c r="AF53" s="79"/>
      <x:c r="AG53" s="79"/>
      <x:c r="AH53" s="79"/>
      <x:c r="AI53" s="79"/>
      <x:c r="AJ53" s="79"/>
      <x:c r="AK53" s="79"/>
      <x:c r="AL53" s="79"/>
      <x:c r="AM53" s="49"/>
      <x:c r="AN53" s="49"/>
      <x:c r="AO53" s="49"/>
      <x:c r="AP53" s="49"/>
      <x:c r="AQ53" s="49"/>
      <x:c r="AR53" s="51"/>
    </x:row>
    <x:row r="54" spans="1:44" s="52" customFormat="1" outlineLevel="2">
      <x:c r="A54" s="47" t="s">
        <x:v>217</x:v>
      </x:c>
      <x:c r="B54" s="21"/>
      <x:c r="C54" s="22"/>
      <x:c r="D54" s="94" t="s">
        <x:v>242</x:v>
      </x:c>
      <x:c r="E54" s="95"/>
      <x:c r="F54" s="95"/>
      <x:c r="G54" s="95"/>
      <x:c r="H54" s="95"/>
      <x:c r="I54" s="95"/>
      <x:c r="J54" s="95"/>
      <x:c r="K54" s="96"/>
      <x:c r="L54" s="23"/>
      <x:c r="M54" s="14">
        <x:v>45853</x:v>
      </x:c>
      <x:c r="N54" s="14">
        <x:v>45859</x:v>
      </x:c>
      <x:c r="O54" s="79">
        <x:f t="shared" si="1"/>
        <x:v>7</x:v>
      </x:c>
      <x:c r="P54" s="79">
        <x:v>7</x:v>
      </x:c>
      <x:c r="Q54" s="20">
        <x:f t="shared" si="2"/>
        <x:v>1</x:v>
      </x:c>
      <x:c r="R54" s="84"/>
      <x:c r="S54" s="84"/>
      <x:c r="T54" s="16" t="s">
        <x:v>63</x:v>
      </x:c>
      <x:c r="U54" s="57">
        <x:v>1</x:v>
      </x:c>
      <x:c r="V54" s="57"/>
      <x:c r="W54" s="79"/>
      <x:c r="X54" s="79"/>
      <x:c r="Y54" s="79"/>
      <x:c r="Z54" s="79"/>
      <x:c r="AA54" s="79"/>
      <x:c r="AB54" s="79"/>
      <x:c r="AC54" s="79"/>
      <x:c r="AD54" s="79"/>
      <x:c r="AE54" s="79"/>
      <x:c r="AF54" s="79"/>
      <x:c r="AG54" s="79"/>
      <x:c r="AH54" s="79"/>
      <x:c r="AI54" s="79"/>
      <x:c r="AJ54" s="79"/>
      <x:c r="AK54" s="79"/>
      <x:c r="AL54" s="79"/>
      <x:c r="AM54" s="49"/>
      <x:c r="AN54" s="49"/>
      <x:c r="AO54" s="49"/>
      <x:c r="AP54" s="49"/>
      <x:c r="AQ54" s="49"/>
      <x:c r="AR54" s="51"/>
    </x:row>
    <x:row r="55" spans="1:44" s="52" customFormat="1" outlineLevel="2">
      <x:c r="A55" s="47" t="s">
        <x:v>214</x:v>
      </x:c>
      <x:c r="B55" s="21"/>
      <x:c r="C55" s="22"/>
      <x:c r="D55" s="77" t="s">
        <x:v>20</x:v>
      </x:c>
      <x:c r="E55" s="126" t="s">
        <x:v>5</x:v>
      </x:c>
      <x:c r="F55" s="126" t="s">
        <x:v>77</x:v>
      </x:c>
      <x:c r="G55" s="126" t="s">
        <x:v>77</x:v>
      </x:c>
      <x:c r="H55" s="126" t="s">
        <x:v>77</x:v>
      </x:c>
      <x:c r="I55" s="126" t="s">
        <x:v>77</x:v>
      </x:c>
      <x:c r="J55" s="126" t="s">
        <x:v>77</x:v>
      </x:c>
      <x:c r="K55" s="127" t="s">
        <x:v>77</x:v>
      </x:c>
      <x:c r="L55" s="23"/>
      <x:c r="M55" s="14">
        <x:v>45853</x:v>
      </x:c>
      <x:c r="N55" s="14">
        <x:v>45859</x:v>
      </x:c>
      <x:c r="O55" s="79">
        <x:f>N55-M55+1</x:f>
        <x:v>7</x:v>
      </x:c>
      <x:c r="P55" s="79">
        <x:v>7</x:v>
      </x:c>
      <x:c r="Q55" s="20">
        <x:v>1</x:v>
      </x:c>
      <x:c r="R55" s="85"/>
      <x:c r="S55" s="85"/>
      <x:c r="T55" s="16" t="s">
        <x:v>63</x:v>
      </x:c>
      <x:c r="U55" s="57">
        <x:v>1</x:v>
      </x:c>
      <x:c r="V55" s="57"/>
      <x:c r="W55" s="79"/>
      <x:c r="X55" s="79"/>
      <x:c r="Y55" s="79"/>
      <x:c r="Z55" s="79"/>
      <x:c r="AA55" s="79"/>
      <x:c r="AB55" s="79"/>
      <x:c r="AC55" s="79"/>
      <x:c r="AD55" s="79"/>
      <x:c r="AE55" s="79"/>
      <x:c r="AF55" s="79"/>
      <x:c r="AG55" s="79"/>
      <x:c r="AH55" s="79"/>
      <x:c r="AI55" s="79"/>
      <x:c r="AJ55" s="79"/>
      <x:c r="AK55" s="79"/>
      <x:c r="AL55" s="79"/>
      <x:c r="AM55" s="49"/>
      <x:c r="AN55" s="49"/>
      <x:c r="AO55" s="49"/>
      <x:c r="AP55" s="49"/>
      <x:c r="AQ55" s="49"/>
      <x:c r="AR55" s="51"/>
    </x:row>
    <x:row r="56" spans="1:44" s="52" customFormat="1" outlineLevel="2">
      <x:c r="A56" s="47" t="s">
        <x:v>198</x:v>
      </x:c>
      <x:c r="B56" s="21"/>
      <x:c r="C56" s="22"/>
      <x:c r="D56" s="77" t="s">
        <x:v>20</x:v>
      </x:c>
      <x:c r="E56" s="126" t="s">
        <x:v>2</x:v>
      </x:c>
      <x:c r="F56" s="126" t="s">
        <x:v>77</x:v>
      </x:c>
      <x:c r="G56" s="126" t="s">
        <x:v>77</x:v>
      </x:c>
      <x:c r="H56" s="126" t="s">
        <x:v>77</x:v>
      </x:c>
      <x:c r="I56" s="126" t="s">
        <x:v>77</x:v>
      </x:c>
      <x:c r="J56" s="126" t="s">
        <x:v>77</x:v>
      </x:c>
      <x:c r="K56" s="127" t="s">
        <x:v>77</x:v>
      </x:c>
      <x:c r="L56" s="23"/>
      <x:c r="M56" s="14">
        <x:v>45853</x:v>
      </x:c>
      <x:c r="N56" s="14">
        <x:v>45859</x:v>
      </x:c>
      <x:c r="O56" s="79">
        <x:f>N56-M56+1</x:f>
        <x:v>7</x:v>
      </x:c>
      <x:c r="P56" s="79">
        <x:v>7</x:v>
      </x:c>
      <x:c r="Q56" s="20">
        <x:f>P56/O56</x:f>
        <x:v>1</x:v>
      </x:c>
      <x:c r="R56" s="84"/>
      <x:c r="S56" s="84"/>
      <x:c r="T56" s="16" t="s">
        <x:v>63</x:v>
      </x:c>
      <x:c r="U56" s="57">
        <x:v>1</x:v>
      </x:c>
      <x:c r="V56" s="57"/>
      <x:c r="W56" s="79"/>
      <x:c r="X56" s="79"/>
      <x:c r="Y56" s="79"/>
      <x:c r="Z56" s="79"/>
      <x:c r="AA56" s="79"/>
      <x:c r="AB56" s="79"/>
      <x:c r="AC56" s="79"/>
      <x:c r="AD56" s="79"/>
      <x:c r="AE56" s="79"/>
      <x:c r="AF56" s="79"/>
      <x:c r="AG56" s="79"/>
      <x:c r="AH56" s="79"/>
      <x:c r="AI56" s="79"/>
      <x:c r="AJ56" s="79"/>
      <x:c r="AK56" s="79"/>
      <x:c r="AL56" s="79"/>
      <x:c r="AM56" s="49"/>
      <x:c r="AN56" s="49"/>
      <x:c r="AO56" s="49"/>
      <x:c r="AP56" s="49"/>
      <x:c r="AQ56" s="49"/>
      <x:c r="AR56" s="51"/>
    </x:row>
    <x:row r="57" spans="1:44" s="52" customFormat="1" outlineLevel="2">
      <x:c r="A57" s="47" t="s">
        <x:v>221</x:v>
      </x:c>
      <x:c r="B57" s="21"/>
      <x:c r="C57" s="22"/>
      <x:c r="D57" s="94" t="s">
        <x:v>104</x:v>
      </x:c>
      <x:c r="E57" s="95"/>
      <x:c r="F57" s="95"/>
      <x:c r="G57" s="95"/>
      <x:c r="H57" s="95"/>
      <x:c r="I57" s="95"/>
      <x:c r="J57" s="95"/>
      <x:c r="K57" s="96"/>
      <x:c r="L57" s="23"/>
      <x:c r="M57" s="14">
        <x:v>45854</x:v>
      </x:c>
      <x:c r="N57" s="14">
        <x:v>45859</x:v>
      </x:c>
      <x:c r="O57" s="79">
        <x:f t="shared" si="1"/>
        <x:v>6</x:v>
      </x:c>
      <x:c r="P57" s="79">
        <x:v>6</x:v>
      </x:c>
      <x:c r="Q57" s="20">
        <x:f t="shared" ref="Q57:Q85" si="4">P57/O57</x:f>
        <x:v>1</x:v>
      </x:c>
      <x:c r="R57" s="79"/>
      <x:c r="S57" s="79"/>
      <x:c r="T57" s="16" t="s">
        <x:v>35</x:v>
      </x:c>
      <x:c r="U57" s="57">
        <x:v>1</x:v>
      </x:c>
      <x:c r="V57" s="57"/>
      <x:c r="W57" s="79"/>
      <x:c r="X57" s="79"/>
      <x:c r="Y57" s="79"/>
      <x:c r="Z57" s="79"/>
      <x:c r="AA57" s="79"/>
      <x:c r="AB57" s="79"/>
      <x:c r="AC57" s="79"/>
      <x:c r="AD57" s="79"/>
      <x:c r="AE57" s="79"/>
      <x:c r="AF57" s="79"/>
      <x:c r="AG57" s="79"/>
      <x:c r="AH57" s="79"/>
      <x:c r="AI57" s="79"/>
      <x:c r="AJ57" s="79"/>
      <x:c r="AK57" s="79"/>
      <x:c r="AL57" s="79"/>
      <x:c r="AM57" s="49"/>
      <x:c r="AN57" s="49"/>
      <x:c r="AO57" s="49"/>
      <x:c r="AP57" s="49"/>
      <x:c r="AQ57" s="49"/>
      <x:c r="AR57" s="51"/>
    </x:row>
    <x:row r="58" spans="1:44" s="52" customFormat="1" outlineLevel="2">
      <x:c r="A58" s="47" t="s">
        <x:v>204</x:v>
      </x:c>
      <x:c r="B58" s="21"/>
      <x:c r="C58" s="22"/>
      <x:c r="D58" s="77" t="s">
        <x:v>20</x:v>
      </x:c>
      <x:c r="E58" s="126" t="s">
        <x:v>123</x:v>
      </x:c>
      <x:c r="F58" s="126" t="s">
        <x:v>77</x:v>
      </x:c>
      <x:c r="G58" s="126" t="s">
        <x:v>77</x:v>
      </x:c>
      <x:c r="H58" s="126" t="s">
        <x:v>77</x:v>
      </x:c>
      <x:c r="I58" s="126" t="s">
        <x:v>77</x:v>
      </x:c>
      <x:c r="J58" s="126" t="s">
        <x:v>77</x:v>
      </x:c>
      <x:c r="K58" s="127" t="s">
        <x:v>77</x:v>
      </x:c>
      <x:c r="L58" s="23"/>
      <x:c r="M58" s="14">
        <x:v>45854</x:v>
      </x:c>
      <x:c r="N58" s="14">
        <x:v>45859</x:v>
      </x:c>
      <x:c r="O58" s="79">
        <x:f t="shared" si="1"/>
        <x:v>6</x:v>
      </x:c>
      <x:c r="P58" s="79">
        <x:v>6</x:v>
      </x:c>
      <x:c r="Q58" s="20">
        <x:f t="shared" si="4"/>
        <x:v>1</x:v>
      </x:c>
      <x:c r="R58" s="84"/>
      <x:c r="S58" s="84"/>
      <x:c r="T58" s="16" t="s">
        <x:v>35</x:v>
      </x:c>
      <x:c r="U58" s="57">
        <x:v>1</x:v>
      </x:c>
      <x:c r="V58" s="57"/>
      <x:c r="W58" s="79"/>
      <x:c r="X58" s="79"/>
      <x:c r="Y58" s="79"/>
      <x:c r="Z58" s="79"/>
      <x:c r="AA58" s="79"/>
      <x:c r="AB58" s="79"/>
      <x:c r="AC58" s="79"/>
      <x:c r="AD58" s="79"/>
      <x:c r="AE58" s="79"/>
      <x:c r="AF58" s="79"/>
      <x:c r="AG58" s="79"/>
      <x:c r="AH58" s="79"/>
      <x:c r="AI58" s="79"/>
      <x:c r="AJ58" s="79"/>
      <x:c r="AK58" s="79"/>
      <x:c r="AL58" s="79"/>
      <x:c r="AM58" s="49"/>
      <x:c r="AN58" s="49"/>
      <x:c r="AO58" s="49"/>
      <x:c r="AP58" s="49"/>
      <x:c r="AQ58" s="49"/>
      <x:c r="AR58" s="51"/>
    </x:row>
    <x:row r="59" spans="1:44" s="52" customFormat="1" outlineLevel="2">
      <x:c r="A59" s="47" t="s">
        <x:v>220</x:v>
      </x:c>
      <x:c r="B59" s="21"/>
      <x:c r="C59" s="22"/>
      <x:c r="D59" s="77" t="s">
        <x:v>20</x:v>
      </x:c>
      <x:c r="E59" s="126" t="s">
        <x:v>70</x:v>
      </x:c>
      <x:c r="F59" s="126" t="s">
        <x:v>77</x:v>
      </x:c>
      <x:c r="G59" s="126" t="s">
        <x:v>77</x:v>
      </x:c>
      <x:c r="H59" s="126" t="s">
        <x:v>77</x:v>
      </x:c>
      <x:c r="I59" s="126" t="s">
        <x:v>77</x:v>
      </x:c>
      <x:c r="J59" s="126" t="s">
        <x:v>77</x:v>
      </x:c>
      <x:c r="K59" s="127" t="s">
        <x:v>77</x:v>
      </x:c>
      <x:c r="L59" s="23"/>
      <x:c r="M59" s="14">
        <x:v>45854</x:v>
      </x:c>
      <x:c r="N59" s="14">
        <x:v>45859</x:v>
      </x:c>
      <x:c r="O59" s="79">
        <x:f t="shared" si="1"/>
        <x:v>6</x:v>
      </x:c>
      <x:c r="P59" s="79">
        <x:v>6</x:v>
      </x:c>
      <x:c r="Q59" s="20">
        <x:f t="shared" si="4"/>
        <x:v>1</x:v>
      </x:c>
      <x:c r="R59" s="84"/>
      <x:c r="S59" s="84"/>
      <x:c r="T59" s="16" t="s">
        <x:v>35</x:v>
      </x:c>
      <x:c r="U59" s="57">
        <x:v>1</x:v>
      </x:c>
      <x:c r="V59" s="57"/>
      <x:c r="W59" s="79"/>
      <x:c r="X59" s="79"/>
      <x:c r="Y59" s="79"/>
      <x:c r="Z59" s="79"/>
      <x:c r="AA59" s="79"/>
      <x:c r="AB59" s="79"/>
      <x:c r="AC59" s="79"/>
      <x:c r="AD59" s="79"/>
      <x:c r="AE59" s="79"/>
      <x:c r="AF59" s="79"/>
      <x:c r="AG59" s="79"/>
      <x:c r="AH59" s="79"/>
      <x:c r="AI59" s="79"/>
      <x:c r="AJ59" s="79"/>
      <x:c r="AK59" s="79"/>
      <x:c r="AL59" s="79"/>
      <x:c r="AM59" s="49"/>
      <x:c r="AN59" s="49"/>
      <x:c r="AO59" s="49"/>
      <x:c r="AP59" s="49"/>
      <x:c r="AQ59" s="49"/>
      <x:c r="AR59" s="51"/>
    </x:row>
    <x:row r="60" spans="1:44" s="52" customFormat="1" outlineLevel="2">
      <x:c r="A60" s="47" t="s">
        <x:v>222</x:v>
      </x:c>
      <x:c r="B60" s="21"/>
      <x:c r="C60" s="22"/>
      <x:c r="D60" s="94" t="s">
        <x:v>92</x:v>
      </x:c>
      <x:c r="E60" s="95"/>
      <x:c r="F60" s="95"/>
      <x:c r="G60" s="95"/>
      <x:c r="H60" s="95"/>
      <x:c r="I60" s="95"/>
      <x:c r="J60" s="95"/>
      <x:c r="K60" s="96"/>
      <x:c r="L60" s="23"/>
      <x:c r="M60" s="14">
        <x:v>45853</x:v>
      </x:c>
      <x:c r="N60" s="14">
        <x:v>45855</x:v>
      </x:c>
      <x:c r="O60" s="79">
        <x:f>N60-M60+1</x:f>
        <x:v>3</x:v>
      </x:c>
      <x:c r="P60" s="79">
        <x:v>3</x:v>
      </x:c>
      <x:c r="Q60" s="20">
        <x:f>P60/O60</x:f>
        <x:v>1</x:v>
      </x:c>
      <x:c r="R60" s="79"/>
      <x:c r="S60" s="79"/>
      <x:c r="T60" s="16" t="s">
        <x:v>68</x:v>
      </x:c>
      <x:c r="U60" s="57">
        <x:v>1</x:v>
      </x:c>
      <x:c r="V60" s="56"/>
      <x:c r="W60" s="79"/>
      <x:c r="X60" s="79"/>
      <x:c r="Y60" s="79"/>
      <x:c r="Z60" s="79"/>
      <x:c r="AA60" s="79"/>
      <x:c r="AB60" s="79"/>
      <x:c r="AC60" s="79"/>
      <x:c r="AD60" s="79"/>
      <x:c r="AE60" s="79"/>
      <x:c r="AF60" s="79"/>
      <x:c r="AG60" s="79"/>
      <x:c r="AH60" s="79"/>
      <x:c r="AI60" s="79"/>
      <x:c r="AJ60" s="79"/>
      <x:c r="AK60" s="79"/>
      <x:c r="AL60" s="79"/>
      <x:c r="AM60" s="49"/>
      <x:c r="AN60" s="49"/>
      <x:c r="AO60" s="49"/>
      <x:c r="AP60" s="49"/>
      <x:c r="AQ60" s="49"/>
      <x:c r="AR60" s="51"/>
    </x:row>
    <x:row r="61" spans="1:44" s="52" customFormat="1" outlineLevel="2">
      <x:c r="A61" s="47" t="s">
        <x:v>219</x:v>
      </x:c>
      <x:c r="B61" s="21"/>
      <x:c r="C61" s="22"/>
      <x:c r="D61" s="77" t="s">
        <x:v>20</x:v>
      </x:c>
      <x:c r="E61" s="126" t="s">
        <x:v>130</x:v>
      </x:c>
      <x:c r="F61" s="126" t="s">
        <x:v>77</x:v>
      </x:c>
      <x:c r="G61" s="126" t="s">
        <x:v>77</x:v>
      </x:c>
      <x:c r="H61" s="126" t="s">
        <x:v>77</x:v>
      </x:c>
      <x:c r="I61" s="126" t="s">
        <x:v>77</x:v>
      </x:c>
      <x:c r="J61" s="126" t="s">
        <x:v>77</x:v>
      </x:c>
      <x:c r="K61" s="127" t="s">
        <x:v>77</x:v>
      </x:c>
      <x:c r="L61" s="23"/>
      <x:c r="M61" s="14">
        <x:v>45853</x:v>
      </x:c>
      <x:c r="N61" s="14">
        <x:v>45855</x:v>
      </x:c>
      <x:c r="O61" s="79">
        <x:f t="shared" si="1"/>
        <x:v>3</x:v>
      </x:c>
      <x:c r="P61" s="79">
        <x:v>3</x:v>
      </x:c>
      <x:c r="Q61" s="20">
        <x:f t="shared" si="4"/>
        <x:v>1</x:v>
      </x:c>
      <x:c r="R61" s="79"/>
      <x:c r="S61" s="79"/>
      <x:c r="T61" s="16" t="s">
        <x:v>68</x:v>
      </x:c>
      <x:c r="U61" s="57">
        <x:v>1</x:v>
      </x:c>
      <x:c r="V61" s="57"/>
      <x:c r="W61" s="79"/>
      <x:c r="X61" s="79"/>
      <x:c r="Y61" s="79"/>
      <x:c r="Z61" s="79"/>
      <x:c r="AA61" s="79"/>
      <x:c r="AB61" s="79"/>
      <x:c r="AC61" s="79"/>
      <x:c r="AD61" s="79"/>
      <x:c r="AE61" s="79"/>
      <x:c r="AF61" s="79"/>
      <x:c r="AG61" s="79"/>
      <x:c r="AH61" s="79"/>
      <x:c r="AI61" s="79"/>
      <x:c r="AJ61" s="79"/>
      <x:c r="AK61" s="79"/>
      <x:c r="AL61" s="79"/>
      <x:c r="AM61" s="49"/>
      <x:c r="AN61" s="49"/>
      <x:c r="AO61" s="49"/>
      <x:c r="AP61" s="49"/>
      <x:c r="AQ61" s="49"/>
      <x:c r="AR61" s="51"/>
    </x:row>
    <x:row r="62" spans="1:44" s="52" customFormat="1" outlineLevel="2">
      <x:c r="A62" s="47" t="s">
        <x:v>160</x:v>
      </x:c>
      <x:c r="B62" s="21"/>
      <x:c r="C62" s="22"/>
      <x:c r="D62" s="77" t="s">
        <x:v>20</x:v>
      </x:c>
      <x:c r="E62" s="126" t="s">
        <x:v>239</x:v>
      </x:c>
      <x:c r="F62" s="126" t="s">
        <x:v>77</x:v>
      </x:c>
      <x:c r="G62" s="126" t="s">
        <x:v>77</x:v>
      </x:c>
      <x:c r="H62" s="126" t="s">
        <x:v>77</x:v>
      </x:c>
      <x:c r="I62" s="126" t="s">
        <x:v>77</x:v>
      </x:c>
      <x:c r="J62" s="126" t="s">
        <x:v>77</x:v>
      </x:c>
      <x:c r="K62" s="127" t="s">
        <x:v>77</x:v>
      </x:c>
      <x:c r="L62" s="23"/>
      <x:c r="M62" s="14">
        <x:v>45853</x:v>
      </x:c>
      <x:c r="N62" s="14">
        <x:v>45855</x:v>
      </x:c>
      <x:c r="O62" s="79">
        <x:f t="shared" si="1"/>
        <x:v>3</x:v>
      </x:c>
      <x:c r="P62" s="79">
        <x:v>3</x:v>
      </x:c>
      <x:c r="Q62" s="20">
        <x:f t="shared" si="4"/>
        <x:v>1</x:v>
      </x:c>
      <x:c r="R62" s="84"/>
      <x:c r="S62" s="84"/>
      <x:c r="T62" s="16" t="s">
        <x:v>68</x:v>
      </x:c>
      <x:c r="U62" s="57">
        <x:v>1</x:v>
      </x:c>
      <x:c r="V62" s="57"/>
      <x:c r="W62" s="79"/>
      <x:c r="X62" s="79"/>
      <x:c r="Y62" s="79"/>
      <x:c r="Z62" s="79"/>
      <x:c r="AA62" s="79"/>
      <x:c r="AB62" s="79"/>
      <x:c r="AC62" s="79"/>
      <x:c r="AD62" s="79"/>
      <x:c r="AE62" s="79"/>
      <x:c r="AF62" s="79"/>
      <x:c r="AG62" s="79"/>
      <x:c r="AH62" s="79"/>
      <x:c r="AI62" s="79"/>
      <x:c r="AJ62" s="79"/>
      <x:c r="AK62" s="79"/>
      <x:c r="AL62" s="79"/>
      <x:c r="AM62" s="49"/>
      <x:c r="AN62" s="49"/>
      <x:c r="AO62" s="49"/>
      <x:c r="AP62" s="49"/>
      <x:c r="AQ62" s="49"/>
      <x:c r="AR62" s="51"/>
    </x:row>
    <x:row r="63" spans="1:44" s="52" customFormat="1" outlineLevel="1">
      <x:c r="A63" s="47" t="s">
        <x:v>39</x:v>
      </x:c>
      <x:c r="B63" s="17"/>
      <x:c r="C63" s="68" t="s">
        <x:v>107</x:v>
      </x:c>
      <x:c r="D63" s="69"/>
      <x:c r="E63" s="69"/>
      <x:c r="F63" s="69"/>
      <x:c r="G63" s="69"/>
      <x:c r="H63" s="69"/>
      <x:c r="I63" s="69"/>
      <x:c r="J63" s="69"/>
      <x:c r="K63" s="70"/>
      <x:c r="L63" s="18"/>
      <x:c r="M63" s="14">
        <x:v>45849</x:v>
      </x:c>
      <x:c r="N63" s="14">
        <x:v>45859</x:v>
      </x:c>
      <x:c r="O63" s="79">
        <x:f t="shared" si="1"/>
        <x:v>11</x:v>
      </x:c>
      <x:c r="P63" s="79">
        <x:v>11</x:v>
      </x:c>
      <x:c r="Q63" s="20">
        <x:f t="shared" si="4"/>
        <x:v>1</x:v>
      </x:c>
      <x:c r="R63" s="79"/>
      <x:c r="S63" s="79"/>
      <x:c r="T63" s="16" t="s">
        <x:v>59</x:v>
      </x:c>
      <x:c r="U63" s="57">
        <x:v>1</x:v>
      </x:c>
      <x:c r="V63" s="57"/>
      <x:c r="W63" s="79"/>
      <x:c r="X63" s="79"/>
      <x:c r="Y63" s="79"/>
      <x:c r="Z63" s="79"/>
      <x:c r="AA63" s="79"/>
      <x:c r="AB63" s="79"/>
      <x:c r="AC63" s="79"/>
      <x:c r="AD63" s="79"/>
      <x:c r="AE63" s="79"/>
      <x:c r="AF63" s="79"/>
      <x:c r="AG63" s="79"/>
      <x:c r="AH63" s="79"/>
      <x:c r="AI63" s="79"/>
      <x:c r="AJ63" s="79"/>
      <x:c r="AK63" s="79"/>
      <x:c r="AL63" s="79"/>
      <x:c r="AM63" s="49"/>
      <x:c r="AN63" s="49"/>
      <x:c r="AO63" s="49"/>
      <x:c r="AP63" s="49"/>
      <x:c r="AQ63" s="49"/>
      <x:c r="AR63" s="51"/>
    </x:row>
    <x:row r="64" spans="1:44" s="52" customFormat="1" outlineLevel="2">
      <x:c r="A64" s="47" t="s">
        <x:v>164</x:v>
      </x:c>
      <x:c r="B64" s="21"/>
      <x:c r="C64" s="22"/>
      <x:c r="D64" s="103" t="s">
        <x:v>108</x:v>
      </x:c>
      <x:c r="E64" s="95"/>
      <x:c r="F64" s="95"/>
      <x:c r="G64" s="95"/>
      <x:c r="H64" s="95"/>
      <x:c r="I64" s="95"/>
      <x:c r="J64" s="95"/>
      <x:c r="K64" s="96"/>
      <x:c r="L64" s="23"/>
      <x:c r="M64" s="14">
        <x:v>45849</x:v>
      </x:c>
      <x:c r="N64" s="14">
        <x:v>45857</x:v>
      </x:c>
      <x:c r="O64" s="79">
        <x:f t="shared" si="1"/>
        <x:v>9</x:v>
      </x:c>
      <x:c r="P64" s="79">
        <x:v>9</x:v>
      </x:c>
      <x:c r="Q64" s="20">
        <x:f t="shared" si="4"/>
        <x:v>1</x:v>
      </x:c>
      <x:c r="R64" s="84"/>
      <x:c r="S64" s="84"/>
      <x:c r="T64" s="16" t="s">
        <x:v>59</x:v>
      </x:c>
      <x:c r="U64" s="57">
        <x:v>1</x:v>
      </x:c>
      <x:c r="V64" s="57"/>
      <x:c r="W64" s="79"/>
      <x:c r="X64" s="79"/>
      <x:c r="Y64" s="79"/>
      <x:c r="Z64" s="79"/>
      <x:c r="AA64" s="79"/>
      <x:c r="AB64" s="79"/>
      <x:c r="AC64" s="79"/>
      <x:c r="AD64" s="79"/>
      <x:c r="AE64" s="79"/>
      <x:c r="AF64" s="79"/>
      <x:c r="AG64" s="79"/>
      <x:c r="AH64" s="79"/>
      <x:c r="AI64" s="79"/>
      <x:c r="AJ64" s="79"/>
      <x:c r="AK64" s="79"/>
      <x:c r="AL64" s="79"/>
      <x:c r="AM64" s="49"/>
      <x:c r="AN64" s="49"/>
      <x:c r="AO64" s="49"/>
      <x:c r="AP64" s="49"/>
      <x:c r="AQ64" s="49"/>
      <x:c r="AR64" s="51"/>
    </x:row>
    <x:row r="65" spans="1:44" s="52" customFormat="1" outlineLevel="2">
      <x:c r="A65" s="47" t="s">
        <x:v>203</x:v>
      </x:c>
      <x:c r="B65" s="21"/>
      <x:c r="C65" s="22"/>
      <x:c r="D65" s="77" t="s">
        <x:v>20</x:v>
      </x:c>
      <x:c r="E65" s="126" t="s">
        <x:v>71</x:v>
      </x:c>
      <x:c r="F65" s="126" t="s">
        <x:v>77</x:v>
      </x:c>
      <x:c r="G65" s="126" t="s">
        <x:v>77</x:v>
      </x:c>
      <x:c r="H65" s="126" t="s">
        <x:v>77</x:v>
      </x:c>
      <x:c r="I65" s="126" t="s">
        <x:v>77</x:v>
      </x:c>
      <x:c r="J65" s="126" t="s">
        <x:v>77</x:v>
      </x:c>
      <x:c r="K65" s="127" t="s">
        <x:v>77</x:v>
      </x:c>
      <x:c r="L65" s="23"/>
      <x:c r="M65" s="14">
        <x:v>45849</x:v>
      </x:c>
      <x:c r="N65" s="14">
        <x:v>45855</x:v>
      </x:c>
      <x:c r="O65" s="79">
        <x:f t="shared" si="1"/>
        <x:v>7</x:v>
      </x:c>
      <x:c r="P65" s="79">
        <x:v>7</x:v>
      </x:c>
      <x:c r="Q65" s="20">
        <x:f t="shared" si="4"/>
        <x:v>1</x:v>
      </x:c>
      <x:c r="R65" s="84"/>
      <x:c r="S65" s="84"/>
      <x:c r="T65" s="16" t="s">
        <x:v>59</x:v>
      </x:c>
      <x:c r="U65" s="57">
        <x:v>1</x:v>
      </x:c>
      <x:c r="V65" s="57"/>
      <x:c r="W65" s="79"/>
      <x:c r="X65" s="79"/>
      <x:c r="Y65" s="79"/>
      <x:c r="Z65" s="79"/>
      <x:c r="AA65" s="79"/>
      <x:c r="AB65" s="79"/>
      <x:c r="AC65" s="79"/>
      <x:c r="AD65" s="79"/>
      <x:c r="AE65" s="79"/>
      <x:c r="AF65" s="79"/>
      <x:c r="AG65" s="79"/>
      <x:c r="AH65" s="79"/>
      <x:c r="AI65" s="79"/>
      <x:c r="AJ65" s="79"/>
      <x:c r="AK65" s="79"/>
      <x:c r="AL65" s="79"/>
      <x:c r="AM65" s="49"/>
      <x:c r="AN65" s="49"/>
      <x:c r="AO65" s="49"/>
      <x:c r="AP65" s="49"/>
      <x:c r="AQ65" s="49"/>
      <x:c r="AR65" s="51"/>
    </x:row>
    <x:row r="66" spans="1:44" s="52" customFormat="1" outlineLevel="2">
      <x:c r="A66" s="47" t="s">
        <x:v>211</x:v>
      </x:c>
      <x:c r="B66" s="21"/>
      <x:c r="C66" s="22"/>
      <x:c r="D66" s="77" t="s">
        <x:v>20</x:v>
      </x:c>
      <x:c r="E66" s="126" t="s">
        <x:v>136</x:v>
      </x:c>
      <x:c r="F66" s="126" t="s">
        <x:v>77</x:v>
      </x:c>
      <x:c r="G66" s="126" t="s">
        <x:v>77</x:v>
      </x:c>
      <x:c r="H66" s="126" t="s">
        <x:v>77</x:v>
      </x:c>
      <x:c r="I66" s="126" t="s">
        <x:v>77</x:v>
      </x:c>
      <x:c r="J66" s="126" t="s">
        <x:v>77</x:v>
      </x:c>
      <x:c r="K66" s="127" t="s">
        <x:v>77</x:v>
      </x:c>
      <x:c r="L66" s="23"/>
      <x:c r="M66" s="14">
        <x:v>45849</x:v>
      </x:c>
      <x:c r="N66" s="14">
        <x:v>45859</x:v>
      </x:c>
      <x:c r="O66" s="79">
        <x:f t="shared" si="1"/>
        <x:v>11</x:v>
      </x:c>
      <x:c r="P66" s="79">
        <x:v>11</x:v>
      </x:c>
      <x:c r="Q66" s="20">
        <x:f t="shared" si="4"/>
        <x:v>1</x:v>
      </x:c>
      <x:c r="R66" s="84"/>
      <x:c r="S66" s="84"/>
      <x:c r="T66" s="16" t="s">
        <x:v>63</x:v>
      </x:c>
      <x:c r="U66" s="57">
        <x:v>1</x:v>
      </x:c>
      <x:c r="V66" s="57"/>
      <x:c r="W66" s="79"/>
      <x:c r="X66" s="79"/>
      <x:c r="Y66" s="79"/>
      <x:c r="Z66" s="79"/>
      <x:c r="AA66" s="79"/>
      <x:c r="AB66" s="79"/>
      <x:c r="AC66" s="79"/>
      <x:c r="AD66" s="79"/>
      <x:c r="AE66" s="79"/>
      <x:c r="AF66" s="79"/>
      <x:c r="AG66" s="79"/>
      <x:c r="AH66" s="79"/>
      <x:c r="AI66" s="79"/>
      <x:c r="AJ66" s="79"/>
      <x:c r="AK66" s="79"/>
      <x:c r="AL66" s="79"/>
      <x:c r="AM66" s="49"/>
      <x:c r="AN66" s="49"/>
      <x:c r="AO66" s="49"/>
      <x:c r="AP66" s="49"/>
      <x:c r="AQ66" s="49"/>
      <x:c r="AR66" s="51"/>
    </x:row>
    <x:row r="67" spans="1:44" s="52" customFormat="1" outlineLevel="2">
      <x:c r="A67" s="47" t="s">
        <x:v>213</x:v>
      </x:c>
      <x:c r="B67" s="21"/>
      <x:c r="C67" s="22"/>
      <x:c r="D67" s="77" t="s">
        <x:v>20</x:v>
      </x:c>
      <x:c r="E67" s="126" t="s">
        <x:v>115</x:v>
      </x:c>
      <x:c r="F67" s="126" t="s">
        <x:v>77</x:v>
      </x:c>
      <x:c r="G67" s="126" t="s">
        <x:v>77</x:v>
      </x:c>
      <x:c r="H67" s="126" t="s">
        <x:v>77</x:v>
      </x:c>
      <x:c r="I67" s="126" t="s">
        <x:v>77</x:v>
      </x:c>
      <x:c r="J67" s="126" t="s">
        <x:v>77</x:v>
      </x:c>
      <x:c r="K67" s="127" t="s">
        <x:v>77</x:v>
      </x:c>
      <x:c r="L67" s="23"/>
      <x:c r="M67" s="14">
        <x:v>45849</x:v>
      </x:c>
      <x:c r="N67" s="14">
        <x:v>45857</x:v>
      </x:c>
      <x:c r="O67" s="79">
        <x:f>N67-M67+1</x:f>
        <x:v>9</x:v>
      </x:c>
      <x:c r="P67" s="79">
        <x:v>9</x:v>
      </x:c>
      <x:c r="Q67" s="20">
        <x:f>P67/O67</x:f>
        <x:v>1</x:v>
      </x:c>
      <x:c r="R67" s="84"/>
      <x:c r="S67" s="84"/>
      <x:c r="T67" s="16" t="s">
        <x:v>63</x:v>
      </x:c>
      <x:c r="U67" s="57">
        <x:v>1</x:v>
      </x:c>
      <x:c r="V67" s="57"/>
      <x:c r="W67" s="79"/>
      <x:c r="X67" s="79"/>
      <x:c r="Y67" s="79"/>
      <x:c r="Z67" s="79"/>
      <x:c r="AA67" s="79"/>
      <x:c r="AB67" s="79"/>
      <x:c r="AC67" s="79"/>
      <x:c r="AD67" s="79"/>
      <x:c r="AE67" s="79"/>
      <x:c r="AF67" s="79"/>
      <x:c r="AG67" s="79"/>
      <x:c r="AH67" s="79"/>
      <x:c r="AI67" s="79"/>
      <x:c r="AJ67" s="79"/>
      <x:c r="AK67" s="79"/>
      <x:c r="AL67" s="79"/>
      <x:c r="AM67" s="49"/>
      <x:c r="AN67" s="49"/>
      <x:c r="AO67" s="49"/>
      <x:c r="AP67" s="49"/>
      <x:c r="AQ67" s="49"/>
      <x:c r="AR67" s="51"/>
    </x:row>
    <x:row r="68" spans="1:44" s="52" customFormat="1" outlineLevel="2">
      <x:c r="A68" s="47" t="s">
        <x:v>174</x:v>
      </x:c>
      <x:c r="B68" s="21"/>
      <x:c r="C68" s="22"/>
      <x:c r="D68" s="77" t="s">
        <x:v>20</x:v>
      </x:c>
      <x:c r="E68" s="126" t="s">
        <x:v>128</x:v>
      </x:c>
      <x:c r="F68" s="126" t="s">
        <x:v>77</x:v>
      </x:c>
      <x:c r="G68" s="126" t="s">
        <x:v>77</x:v>
      </x:c>
      <x:c r="H68" s="126" t="s">
        <x:v>77</x:v>
      </x:c>
      <x:c r="I68" s="126" t="s">
        <x:v>77</x:v>
      </x:c>
      <x:c r="J68" s="126" t="s">
        <x:v>77</x:v>
      </x:c>
      <x:c r="K68" s="127" t="s">
        <x:v>77</x:v>
      </x:c>
      <x:c r="L68" s="23"/>
      <x:c r="M68" s="14">
        <x:v>45849</x:v>
      </x:c>
      <x:c r="N68" s="14">
        <x:v>45857</x:v>
      </x:c>
      <x:c r="O68" s="79">
        <x:f t="shared" si="1"/>
        <x:v>9</x:v>
      </x:c>
      <x:c r="P68" s="79">
        <x:v>9</x:v>
      </x:c>
      <x:c r="Q68" s="20">
        <x:f t="shared" si="4"/>
        <x:v>1</x:v>
      </x:c>
      <x:c r="R68" s="79"/>
      <x:c r="S68" s="79"/>
      <x:c r="T68" s="16" t="s">
        <x:v>63</x:v>
      </x:c>
      <x:c r="U68" s="57">
        <x:v>1</x:v>
      </x:c>
      <x:c r="V68" s="57"/>
      <x:c r="W68" s="79"/>
      <x:c r="X68" s="79"/>
      <x:c r="Y68" s="79"/>
      <x:c r="Z68" s="79"/>
      <x:c r="AA68" s="79"/>
      <x:c r="AB68" s="79"/>
      <x:c r="AC68" s="79"/>
      <x:c r="AD68" s="79"/>
      <x:c r="AE68" s="79"/>
      <x:c r="AF68" s="79"/>
      <x:c r="AG68" s="79"/>
      <x:c r="AH68" s="79"/>
      <x:c r="AI68" s="79"/>
      <x:c r="AJ68" s="79"/>
      <x:c r="AK68" s="79"/>
      <x:c r="AL68" s="79"/>
      <x:c r="AM68" s="49"/>
      <x:c r="AN68" s="49"/>
      <x:c r="AO68" s="49"/>
      <x:c r="AP68" s="49"/>
      <x:c r="AQ68" s="49"/>
      <x:c r="AR68" s="51"/>
    </x:row>
    <x:row r="69" spans="1:44" s="52" customFormat="1" outlineLevel="2">
      <x:c r="A69" s="47" t="s">
        <x:v>175</x:v>
      </x:c>
      <x:c r="B69" s="21"/>
      <x:c r="C69" s="22"/>
      <x:c r="D69" s="77" t="s">
        <x:v>20</x:v>
      </x:c>
      <x:c r="E69" s="126" t="s">
        <x:v>103</x:v>
      </x:c>
      <x:c r="F69" s="126" t="s">
        <x:v>77</x:v>
      </x:c>
      <x:c r="G69" s="126" t="s">
        <x:v>77</x:v>
      </x:c>
      <x:c r="H69" s="126" t="s">
        <x:v>77</x:v>
      </x:c>
      <x:c r="I69" s="126" t="s">
        <x:v>77</x:v>
      </x:c>
      <x:c r="J69" s="126" t="s">
        <x:v>77</x:v>
      </x:c>
      <x:c r="K69" s="127" t="s">
        <x:v>77</x:v>
      </x:c>
      <x:c r="L69" s="23"/>
      <x:c r="M69" s="14">
        <x:v>45849</x:v>
      </x:c>
      <x:c r="N69" s="14">
        <x:v>45857</x:v>
      </x:c>
      <x:c r="O69" s="79">
        <x:f t="shared" si="1"/>
        <x:v>9</x:v>
      </x:c>
      <x:c r="P69" s="79">
        <x:v>9</x:v>
      </x:c>
      <x:c r="Q69" s="20">
        <x:f t="shared" si="4"/>
        <x:v>1</x:v>
      </x:c>
      <x:c r="R69" s="84"/>
      <x:c r="S69" s="84"/>
      <x:c r="T69" s="16" t="s">
        <x:v>59</x:v>
      </x:c>
      <x:c r="U69" s="57">
        <x:v>1</x:v>
      </x:c>
      <x:c r="V69" s="57"/>
      <x:c r="W69" s="79"/>
      <x:c r="X69" s="79"/>
      <x:c r="Y69" s="79"/>
      <x:c r="Z69" s="79"/>
      <x:c r="AA69" s="79"/>
      <x:c r="AB69" s="79"/>
      <x:c r="AC69" s="79"/>
      <x:c r="AD69" s="79"/>
      <x:c r="AE69" s="79"/>
      <x:c r="AF69" s="79"/>
      <x:c r="AG69" s="79"/>
      <x:c r="AH69" s="79"/>
      <x:c r="AI69" s="79"/>
      <x:c r="AJ69" s="79"/>
      <x:c r="AK69" s="79"/>
      <x:c r="AL69" s="79"/>
      <x:c r="AM69" s="49"/>
      <x:c r="AN69" s="49"/>
      <x:c r="AO69" s="49"/>
      <x:c r="AP69" s="49"/>
      <x:c r="AQ69" s="49"/>
      <x:c r="AR69" s="51"/>
    </x:row>
    <x:row r="70" spans="1:44" s="52" customFormat="1" outlineLevel="2">
      <x:c r="A70" s="47" t="s">
        <x:v>182</x:v>
      </x:c>
      <x:c r="B70" s="21"/>
      <x:c r="C70" s="22"/>
      <x:c r="D70" s="94" t="s">
        <x:v>94</x:v>
      </x:c>
      <x:c r="E70" s="95"/>
      <x:c r="F70" s="95"/>
      <x:c r="G70" s="95"/>
      <x:c r="H70" s="95"/>
      <x:c r="I70" s="95"/>
      <x:c r="J70" s="95"/>
      <x:c r="K70" s="96"/>
      <x:c r="L70" s="23"/>
      <x:c r="M70" s="14">
        <x:v>45850</x:v>
      </x:c>
      <x:c r="N70" s="14">
        <x:v>45857</x:v>
      </x:c>
      <x:c r="O70" s="79">
        <x:f t="shared" si="1"/>
        <x:v>8</x:v>
      </x:c>
      <x:c r="P70" s="79">
        <x:v>8</x:v>
      </x:c>
      <x:c r="Q70" s="20">
        <x:f t="shared" si="4"/>
        <x:v>1</x:v>
      </x:c>
      <x:c r="R70" s="84"/>
      <x:c r="S70" s="84"/>
      <x:c r="T70" s="16" t="s">
        <x:v>63</x:v>
      </x:c>
      <x:c r="U70" s="57">
        <x:v>1</x:v>
      </x:c>
      <x:c r="V70" s="57"/>
      <x:c r="W70" s="79"/>
      <x:c r="X70" s="79"/>
      <x:c r="Y70" s="79"/>
      <x:c r="Z70" s="79"/>
      <x:c r="AA70" s="79"/>
      <x:c r="AB70" s="79"/>
      <x:c r="AC70" s="79"/>
      <x:c r="AD70" s="79"/>
      <x:c r="AE70" s="79"/>
      <x:c r="AF70" s="79"/>
      <x:c r="AG70" s="79"/>
      <x:c r="AH70" s="79"/>
      <x:c r="AI70" s="79"/>
      <x:c r="AJ70" s="79"/>
      <x:c r="AK70" s="79"/>
      <x:c r="AL70" s="79"/>
      <x:c r="AM70" s="49"/>
      <x:c r="AN70" s="49"/>
      <x:c r="AO70" s="49"/>
      <x:c r="AP70" s="49"/>
      <x:c r="AQ70" s="49"/>
      <x:c r="AR70" s="51"/>
    </x:row>
    <x:row r="71" spans="1:44" s="52" customFormat="1" outlineLevel="2">
      <x:c r="A71" s="47" t="s">
        <x:v>163</x:v>
      </x:c>
      <x:c r="B71" s="21"/>
      <x:c r="C71" s="22"/>
      <x:c r="D71" s="77" t="s">
        <x:v>20</x:v>
      </x:c>
      <x:c r="E71" s="126" t="s">
        <x:v>245</x:v>
      </x:c>
      <x:c r="F71" s="126" t="s">
        <x:v>77</x:v>
      </x:c>
      <x:c r="G71" s="126" t="s">
        <x:v>77</x:v>
      </x:c>
      <x:c r="H71" s="126" t="s">
        <x:v>77</x:v>
      </x:c>
      <x:c r="I71" s="126" t="s">
        <x:v>77</x:v>
      </x:c>
      <x:c r="J71" s="126" t="s">
        <x:v>77</x:v>
      </x:c>
      <x:c r="K71" s="127" t="s">
        <x:v>77</x:v>
      </x:c>
      <x:c r="L71" s="23"/>
      <x:c r="M71" s="14">
        <x:v>45850</x:v>
      </x:c>
      <x:c r="N71" s="14">
        <x:v>45856</x:v>
      </x:c>
      <x:c r="O71" s="79">
        <x:f>N71-M71+1</x:f>
        <x:v>7</x:v>
      </x:c>
      <x:c r="P71" s="79">
        <x:v>7</x:v>
      </x:c>
      <x:c r="Q71" s="20">
        <x:v>1</x:v>
      </x:c>
      <x:c r="R71" s="84"/>
      <x:c r="S71" s="84"/>
      <x:c r="T71" s="16" t="s">
        <x:v>63</x:v>
      </x:c>
      <x:c r="U71" s="57">
        <x:v>1</x:v>
      </x:c>
      <x:c r="V71" s="57"/>
      <x:c r="W71" s="79"/>
      <x:c r="X71" s="79"/>
      <x:c r="Y71" s="79"/>
      <x:c r="Z71" s="79"/>
      <x:c r="AA71" s="79"/>
      <x:c r="AB71" s="79"/>
      <x:c r="AC71" s="79"/>
      <x:c r="AD71" s="79"/>
      <x:c r="AE71" s="79"/>
      <x:c r="AF71" s="79"/>
      <x:c r="AG71" s="79"/>
      <x:c r="AH71" s="79"/>
      <x:c r="AI71" s="79"/>
      <x:c r="AJ71" s="79"/>
      <x:c r="AK71" s="79"/>
      <x:c r="AL71" s="79"/>
      <x:c r="AM71" s="49"/>
      <x:c r="AN71" s="49"/>
      <x:c r="AO71" s="49"/>
      <x:c r="AP71" s="49"/>
      <x:c r="AQ71" s="49"/>
      <x:c r="AR71" s="51"/>
    </x:row>
    <x:row r="72" spans="1:44" s="52" customFormat="1" outlineLevel="2">
      <x:c r="A72" s="47" t="s">
        <x:v>163</x:v>
      </x:c>
      <x:c r="B72" s="21"/>
      <x:c r="C72" s="22"/>
      <x:c r="D72" s="77" t="s">
        <x:v>20</x:v>
      </x:c>
      <x:c r="E72" s="126" t="s">
        <x:v>1</x:v>
      </x:c>
      <x:c r="F72" s="126" t="s">
        <x:v>77</x:v>
      </x:c>
      <x:c r="G72" s="126" t="s">
        <x:v>77</x:v>
      </x:c>
      <x:c r="H72" s="126" t="s">
        <x:v>77</x:v>
      </x:c>
      <x:c r="I72" s="126" t="s">
        <x:v>77</x:v>
      </x:c>
      <x:c r="J72" s="126" t="s">
        <x:v>77</x:v>
      </x:c>
      <x:c r="K72" s="127" t="s">
        <x:v>77</x:v>
      </x:c>
      <x:c r="L72" s="23"/>
      <x:c r="M72" s="14">
        <x:v>45850</x:v>
      </x:c>
      <x:c r="N72" s="14">
        <x:v>45857</x:v>
      </x:c>
      <x:c r="O72" s="79">
        <x:f t="shared" si="1"/>
        <x:v>8</x:v>
      </x:c>
      <x:c r="P72" s="79">
        <x:v>8</x:v>
      </x:c>
      <x:c r="Q72" s="20">
        <x:f t="shared" si="4"/>
        <x:v>1</x:v>
      </x:c>
      <x:c r="R72" s="84"/>
      <x:c r="S72" s="84"/>
      <x:c r="T72" s="16" t="s">
        <x:v>63</x:v>
      </x:c>
      <x:c r="U72" s="57">
        <x:v>1</x:v>
      </x:c>
      <x:c r="V72" s="57"/>
      <x:c r="W72" s="79"/>
      <x:c r="X72" s="79"/>
      <x:c r="Y72" s="79"/>
      <x:c r="Z72" s="79"/>
      <x:c r="AA72" s="79"/>
      <x:c r="AB72" s="79"/>
      <x:c r="AC72" s="79"/>
      <x:c r="AD72" s="79"/>
      <x:c r="AE72" s="79"/>
      <x:c r="AF72" s="79"/>
      <x:c r="AG72" s="79"/>
      <x:c r="AH72" s="79"/>
      <x:c r="AI72" s="79"/>
      <x:c r="AJ72" s="79"/>
      <x:c r="AK72" s="79"/>
      <x:c r="AL72" s="79"/>
      <x:c r="AM72" s="49"/>
      <x:c r="AN72" s="49"/>
      <x:c r="AO72" s="49"/>
      <x:c r="AP72" s="49"/>
      <x:c r="AQ72" s="49"/>
      <x:c r="AR72" s="51"/>
    </x:row>
    <x:row r="73" spans="1:44" s="52" customFormat="1" outlineLevel="1">
      <x:c r="A73" s="47" t="s">
        <x:v>61</x:v>
      </x:c>
      <x:c r="B73" s="17"/>
      <x:c r="C73" s="97" t="s">
        <x:v>97</x:v>
      </x:c>
      <x:c r="D73" s="98"/>
      <x:c r="E73" s="98"/>
      <x:c r="F73" s="98"/>
      <x:c r="G73" s="98"/>
      <x:c r="H73" s="98"/>
      <x:c r="I73" s="98"/>
      <x:c r="J73" s="98"/>
      <x:c r="K73" s="99"/>
      <x:c r="L73" s="18"/>
      <x:c r="M73" s="14">
        <x:v>45851</x:v>
      </x:c>
      <x:c r="N73" s="14">
        <x:v>45857</x:v>
      </x:c>
      <x:c r="O73" s="79">
        <x:f t="shared" si="1"/>
        <x:v>7</x:v>
      </x:c>
      <x:c r="P73" s="79">
        <x:v>7</x:v>
      </x:c>
      <x:c r="Q73" s="20">
        <x:f t="shared" si="4"/>
        <x:v>1</x:v>
      </x:c>
      <x:c r="R73" s="79"/>
      <x:c r="S73" s="79"/>
      <x:c r="T73" s="16" t="s">
        <x:v>35</x:v>
      </x:c>
      <x:c r="U73" s="57">
        <x:v>1</x:v>
      </x:c>
      <x:c r="V73" s="57"/>
      <x:c r="W73" s="79"/>
      <x:c r="X73" s="79"/>
      <x:c r="Y73" s="79"/>
      <x:c r="Z73" s="79"/>
      <x:c r="AA73" s="79"/>
      <x:c r="AB73" s="79"/>
      <x:c r="AC73" s="79"/>
      <x:c r="AD73" s="79"/>
      <x:c r="AE73" s="79"/>
      <x:c r="AF73" s="79"/>
      <x:c r="AG73" s="79"/>
      <x:c r="AH73" s="79"/>
      <x:c r="AI73" s="79"/>
      <x:c r="AJ73" s="79"/>
      <x:c r="AK73" s="79"/>
      <x:c r="AL73" s="79"/>
      <x:c r="AM73" s="49"/>
      <x:c r="AN73" s="49"/>
      <x:c r="AO73" s="49"/>
      <x:c r="AP73" s="49"/>
      <x:c r="AQ73" s="49"/>
      <x:c r="AR73" s="51"/>
    </x:row>
    <x:row r="74" spans="1:44" s="52" customFormat="1" outlineLevel="1">
      <x:c r="A74" s="47" t="s">
        <x:v>176</x:v>
      </x:c>
      <x:c r="B74" s="21"/>
      <x:c r="C74" s="22"/>
      <x:c r="D74" s="94" t="s">
        <x:v>86</x:v>
      </x:c>
      <x:c r="E74" s="95"/>
      <x:c r="F74" s="95"/>
      <x:c r="G74" s="95"/>
      <x:c r="H74" s="95"/>
      <x:c r="I74" s="95"/>
      <x:c r="J74" s="95"/>
      <x:c r="K74" s="96"/>
      <x:c r="L74" s="23"/>
      <x:c r="M74" s="14">
        <x:v>45851</x:v>
      </x:c>
      <x:c r="N74" s="14">
        <x:v>45857</x:v>
      </x:c>
      <x:c r="O74" s="79">
        <x:f t="shared" si="1"/>
        <x:v>7</x:v>
      </x:c>
      <x:c r="P74" s="79">
        <x:v>7</x:v>
      </x:c>
      <x:c r="Q74" s="20">
        <x:f t="shared" si="4"/>
        <x:v>1</x:v>
      </x:c>
      <x:c r="R74" s="84"/>
      <x:c r="S74" s="84"/>
      <x:c r="T74" s="16" t="s">
        <x:v>35</x:v>
      </x:c>
      <x:c r="U74" s="57">
        <x:v>1</x:v>
      </x:c>
      <x:c r="V74" s="57"/>
      <x:c r="W74" s="79"/>
      <x:c r="X74" s="79"/>
      <x:c r="Y74" s="79"/>
      <x:c r="Z74" s="79"/>
      <x:c r="AA74" s="79"/>
      <x:c r="AB74" s="79"/>
      <x:c r="AC74" s="79"/>
      <x:c r="AD74" s="79"/>
      <x:c r="AE74" s="79"/>
      <x:c r="AF74" s="79"/>
      <x:c r="AG74" s="79"/>
      <x:c r="AH74" s="79"/>
      <x:c r="AI74" s="79"/>
      <x:c r="AJ74" s="79"/>
      <x:c r="AK74" s="79"/>
      <x:c r="AL74" s="79"/>
      <x:c r="AM74" s="49"/>
      <x:c r="AN74" s="49"/>
      <x:c r="AO74" s="49"/>
      <x:c r="AP74" s="49"/>
      <x:c r="AQ74" s="49"/>
      <x:c r="AR74" s="51"/>
    </x:row>
    <x:row r="75" spans="1:44">
      <x:c r="A75" s="46" t="s">
        <x:v>56</x:v>
      </x:c>
      <x:c r="B75" s="100" t="s">
        <x:v>9</x:v>
      </x:c>
      <x:c r="C75" s="101"/>
      <x:c r="D75" s="101"/>
      <x:c r="E75" s="101"/>
      <x:c r="F75" s="101"/>
      <x:c r="G75" s="101"/>
      <x:c r="H75" s="101"/>
      <x:c r="I75" s="101"/>
      <x:c r="J75" s="101"/>
      <x:c r="K75" s="102"/>
      <x:c r="L75" s="65"/>
      <x:c r="M75" s="14" t="s">
        <x:v>20</x:v>
      </x:c>
      <x:c r="N75" s="14" t="s">
        <x:v>20</x:v>
      </x:c>
      <x:c r="O75" s="78" t="e">
        <x:f>N75-M75+1</x:f>
        <x:v>#VALUE!</x:v>
      </x:c>
      <x:c r="P75" s="78">
        <x:v>0</x:v>
      </x:c>
      <x:c r="Q75" s="66" t="e">
        <x:f>P75/O75</x:f>
        <x:v>#VALUE!</x:v>
      </x:c>
      <x:c r="R75" s="78"/>
      <x:c r="S75" s="78"/>
      <x:c r="T75" s="83" t="s">
        <x:v>20</x:v>
      </x:c>
      <x:c r="U75" s="67">
        <x:v>0</x:v>
      </x:c>
      <x:c r="V75" s="67"/>
      <x:c r="W75" s="79"/>
      <x:c r="X75" s="79"/>
      <x:c r="Y75" s="79"/>
      <x:c r="Z75" s="79"/>
      <x:c r="AA75" s="79"/>
      <x:c r="AB75" s="79"/>
      <x:c r="AC75" s="79"/>
      <x:c r="AD75" s="79"/>
      <x:c r="AE75" s="79"/>
      <x:c r="AF75" s="79"/>
      <x:c r="AG75" s="79"/>
      <x:c r="AH75" s="79"/>
      <x:c r="AI75" s="79"/>
      <x:c r="AJ75" s="79"/>
      <x:c r="AK75" s="79"/>
      <x:c r="AL75" s="79"/>
      <x:c r="AM75" s="36"/>
      <x:c r="AN75" s="36"/>
      <x:c r="AO75" s="36"/>
      <x:c r="AP75" s="36"/>
      <x:c r="AQ75" s="36"/>
      <x:c r="AR75" s="1"/>
    </x:row>
    <x:row r="76" spans="1:44" s="52" customFormat="1" outlineLevel="1">
      <x:c r="A76" s="47" t="s">
        <x:v>23</x:v>
      </x:c>
      <x:c r="B76" s="17"/>
      <x:c r="C76" s="97" t="s">
        <x:v>237</x:v>
      </x:c>
      <x:c r="D76" s="98"/>
      <x:c r="E76" s="98"/>
      <x:c r="F76" s="98"/>
      <x:c r="G76" s="98"/>
      <x:c r="H76" s="98"/>
      <x:c r="I76" s="98"/>
      <x:c r="J76" s="98"/>
      <x:c r="K76" s="99"/>
      <x:c r="L76" s="18"/>
      <x:c r="M76" s="14">
        <x:v>45859</x:v>
      </x:c>
      <x:c r="N76" s="14">
        <x:v>45860</x:v>
      </x:c>
      <x:c r="O76" s="79">
        <x:f>N76-M76+1</x:f>
        <x:v>2</x:v>
      </x:c>
      <x:c r="P76" s="79">
        <x:v>2</x:v>
      </x:c>
      <x:c r="Q76" s="20">
        <x:f>P76/O76</x:f>
        <x:v>1</x:v>
      </x:c>
      <x:c r="R76" s="79"/>
      <x:c r="S76" s="79"/>
      <x:c r="T76" s="16" t="s">
        <x:v>59</x:v>
      </x:c>
      <x:c r="U76" s="56">
        <x:v>1</x:v>
      </x:c>
      <x:c r="V76" s="56"/>
      <x:c r="W76" s="79"/>
      <x:c r="X76" s="79"/>
      <x:c r="Y76" s="79"/>
      <x:c r="Z76" s="79"/>
      <x:c r="AA76" s="79"/>
      <x:c r="AB76" s="79"/>
      <x:c r="AC76" s="79"/>
      <x:c r="AD76" s="79"/>
      <x:c r="AE76" s="79"/>
      <x:c r="AF76" s="79"/>
      <x:c r="AG76" s="79"/>
      <x:c r="AH76" s="79"/>
      <x:c r="AI76" s="79"/>
      <x:c r="AJ76" s="79"/>
      <x:c r="AK76" s="79"/>
      <x:c r="AL76" s="79"/>
      <x:c r="AM76" s="49"/>
      <x:c r="AN76" s="49"/>
      <x:c r="AO76" s="49"/>
      <x:c r="AP76" s="49"/>
      <x:c r="AQ76" s="49"/>
      <x:c r="AR76" s="51"/>
    </x:row>
    <x:row r="77" spans="1:44" s="52" customFormat="1" outlineLevel="2">
      <x:c r="A77" s="47" t="s">
        <x:v>144</x:v>
      </x:c>
      <x:c r="B77" s="21"/>
      <x:c r="C77" s="22"/>
      <x:c r="D77" s="94" t="s">
        <x:v>253</x:v>
      </x:c>
      <x:c r="E77" s="95"/>
      <x:c r="F77" s="95"/>
      <x:c r="G77" s="95"/>
      <x:c r="H77" s="95"/>
      <x:c r="I77" s="95"/>
      <x:c r="J77" s="95"/>
      <x:c r="K77" s="96"/>
      <x:c r="L77" s="23"/>
      <x:c r="M77" s="14">
        <x:v>45859</x:v>
      </x:c>
      <x:c r="N77" s="14">
        <x:v>45860</x:v>
      </x:c>
      <x:c r="O77" s="79">
        <x:f t="shared" si="1"/>
        <x:v>2</x:v>
      </x:c>
      <x:c r="P77" s="79">
        <x:v>2</x:v>
      </x:c>
      <x:c r="Q77" s="20">
        <x:f t="shared" si="4"/>
        <x:v>1</x:v>
      </x:c>
      <x:c r="R77" s="79"/>
      <x:c r="S77" s="79"/>
      <x:c r="T77" s="16" t="s">
        <x:v>68</x:v>
      </x:c>
      <x:c r="U77" s="56">
        <x:v>1</x:v>
      </x:c>
      <x:c r="V77" s="56"/>
      <x:c r="W77" s="79"/>
      <x:c r="X77" s="79"/>
      <x:c r="Y77" s="79"/>
      <x:c r="Z77" s="79"/>
      <x:c r="AA77" s="79"/>
      <x:c r="AB77" s="79"/>
      <x:c r="AC77" s="79"/>
      <x:c r="AD77" s="79"/>
      <x:c r="AE77" s="79"/>
      <x:c r="AF77" s="79"/>
      <x:c r="AG77" s="79"/>
      <x:c r="AH77" s="79"/>
      <x:c r="AI77" s="79"/>
      <x:c r="AJ77" s="79"/>
      <x:c r="AK77" s="79"/>
      <x:c r="AL77" s="79"/>
      <x:c r="AM77" s="49"/>
      <x:c r="AN77" s="49"/>
      <x:c r="AO77" s="49"/>
      <x:c r="AP77" s="49"/>
      <x:c r="AQ77" s="49"/>
      <x:c r="AR77" s="51"/>
    </x:row>
    <x:row r="78" spans="1:44" s="52" customFormat="1" outlineLevel="2">
      <x:c r="A78" s="47" t="s">
        <x:v>165</x:v>
      </x:c>
      <x:c r="B78" s="21"/>
      <x:c r="C78" s="22"/>
      <x:c r="D78" s="94" t="s">
        <x:v>249</x:v>
      </x:c>
      <x:c r="E78" s="95"/>
      <x:c r="F78" s="95"/>
      <x:c r="G78" s="95"/>
      <x:c r="H78" s="95"/>
      <x:c r="I78" s="95"/>
      <x:c r="J78" s="95"/>
      <x:c r="K78" s="96"/>
      <x:c r="L78" s="23"/>
      <x:c r="M78" s="14">
        <x:v>45859</x:v>
      </x:c>
      <x:c r="N78" s="14">
        <x:v>45860</x:v>
      </x:c>
      <x:c r="O78" s="79">
        <x:f t="shared" si="1"/>
        <x:v>2</x:v>
      </x:c>
      <x:c r="P78" s="79">
        <x:v>2</x:v>
      </x:c>
      <x:c r="Q78" s="20">
        <x:f t="shared" si="4"/>
        <x:v>1</x:v>
      </x:c>
      <x:c r="R78" s="84"/>
      <x:c r="S78" s="84"/>
      <x:c r="T78" s="16" t="s">
        <x:v>35</x:v>
      </x:c>
      <x:c r="U78" s="57">
        <x:v>1</x:v>
      </x:c>
      <x:c r="V78" s="57"/>
      <x:c r="W78" s="79"/>
      <x:c r="X78" s="79"/>
      <x:c r="Y78" s="79"/>
      <x:c r="Z78" s="79"/>
      <x:c r="AA78" s="79"/>
      <x:c r="AB78" s="79"/>
      <x:c r="AC78" s="79"/>
      <x:c r="AD78" s="79"/>
      <x:c r="AE78" s="79"/>
      <x:c r="AF78" s="79"/>
      <x:c r="AG78" s="79"/>
      <x:c r="AH78" s="79"/>
      <x:c r="AI78" s="79"/>
      <x:c r="AJ78" s="79"/>
      <x:c r="AK78" s="79"/>
      <x:c r="AL78" s="79"/>
      <x:c r="AM78" s="49"/>
      <x:c r="AN78" s="49"/>
      <x:c r="AO78" s="49"/>
      <x:c r="AP78" s="49"/>
      <x:c r="AQ78" s="49"/>
      <x:c r="AR78" s="51"/>
    </x:row>
    <x:row r="79" spans="1:44" s="52" customFormat="1" outlineLevel="2">
      <x:c r="A79" s="47" t="s">
        <x:v>159</x:v>
      </x:c>
      <x:c r="B79" s="21"/>
      <x:c r="C79" s="22"/>
      <x:c r="D79" s="94" t="s">
        <x:v>246</x:v>
      </x:c>
      <x:c r="E79" s="95"/>
      <x:c r="F79" s="95"/>
      <x:c r="G79" s="95"/>
      <x:c r="H79" s="95"/>
      <x:c r="I79" s="95"/>
      <x:c r="J79" s="95"/>
      <x:c r="K79" s="96"/>
      <x:c r="L79" s="23"/>
      <x:c r="M79" s="14">
        <x:v>45859</x:v>
      </x:c>
      <x:c r="N79" s="14">
        <x:v>45860</x:v>
      </x:c>
      <x:c r="O79" s="79">
        <x:f t="shared" si="1"/>
        <x:v>2</x:v>
      </x:c>
      <x:c r="P79" s="79">
        <x:v>2</x:v>
      </x:c>
      <x:c r="Q79" s="20">
        <x:f t="shared" si="4"/>
        <x:v>1</x:v>
      </x:c>
      <x:c r="R79" s="79"/>
      <x:c r="S79" s="79"/>
      <x:c r="T79" s="16" t="s">
        <x:v>59</x:v>
      </x:c>
      <x:c r="U79" s="56">
        <x:v>1</x:v>
      </x:c>
      <x:c r="V79" s="56"/>
      <x:c r="W79" s="79"/>
      <x:c r="X79" s="79"/>
      <x:c r="Y79" s="79"/>
      <x:c r="Z79" s="79"/>
      <x:c r="AA79" s="79"/>
      <x:c r="AB79" s="79"/>
      <x:c r="AC79" s="79"/>
      <x:c r="AD79" s="79"/>
      <x:c r="AE79" s="79"/>
      <x:c r="AF79" s="79"/>
      <x:c r="AG79" s="79"/>
      <x:c r="AH79" s="79"/>
      <x:c r="AI79" s="79"/>
      <x:c r="AJ79" s="79"/>
      <x:c r="AK79" s="79"/>
      <x:c r="AL79" s="79"/>
      <x:c r="AM79" s="49"/>
      <x:c r="AN79" s="49"/>
      <x:c r="AO79" s="49"/>
      <x:c r="AP79" s="49"/>
      <x:c r="AQ79" s="49"/>
      <x:c r="AR79" s="51"/>
    </x:row>
    <x:row r="80" spans="1:44" s="52" customFormat="1" outlineLevel="1">
      <x:c r="A80" s="47" t="s">
        <x:v>15</x:v>
      </x:c>
      <x:c r="B80" s="17"/>
      <x:c r="C80" s="97" t="s">
        <x:v>201</x:v>
      </x:c>
      <x:c r="D80" s="98"/>
      <x:c r="E80" s="98"/>
      <x:c r="F80" s="98"/>
      <x:c r="G80" s="98"/>
      <x:c r="H80" s="98"/>
      <x:c r="I80" s="98"/>
      <x:c r="J80" s="98"/>
      <x:c r="K80" s="99"/>
      <x:c r="L80" s="18"/>
      <x:c r="M80" s="14">
        <x:v>45858</x:v>
      </x:c>
      <x:c r="N80" s="14">
        <x:v>45860</x:v>
      </x:c>
      <x:c r="O80" s="79">
        <x:f t="shared" si="1"/>
        <x:v>3</x:v>
      </x:c>
      <x:c r="P80" s="79">
        <x:v>3</x:v>
      </x:c>
      <x:c r="Q80" s="20">
        <x:f t="shared" si="4"/>
        <x:v>1</x:v>
      </x:c>
      <x:c r="R80" s="84"/>
      <x:c r="S80" s="84"/>
      <x:c r="T80" s="16" t="s">
        <x:v>68</x:v>
      </x:c>
      <x:c r="U80" s="57">
        <x:v>1</x:v>
      </x:c>
      <x:c r="V80" s="57"/>
      <x:c r="W80" s="79"/>
      <x:c r="X80" s="79"/>
      <x:c r="Y80" s="79"/>
      <x:c r="Z80" s="79"/>
      <x:c r="AA80" s="79"/>
      <x:c r="AB80" s="79"/>
      <x:c r="AC80" s="79"/>
      <x:c r="AD80" s="79"/>
      <x:c r="AE80" s="79"/>
      <x:c r="AF80" s="79"/>
      <x:c r="AG80" s="79"/>
      <x:c r="AH80" s="79"/>
      <x:c r="AI80" s="79"/>
      <x:c r="AJ80" s="79"/>
      <x:c r="AK80" s="79"/>
      <x:c r="AL80" s="79"/>
      <x:c r="AM80" s="49"/>
      <x:c r="AN80" s="49"/>
      <x:c r="AO80" s="49"/>
      <x:c r="AP80" s="49"/>
      <x:c r="AQ80" s="49"/>
      <x:c r="AR80" s="51"/>
    </x:row>
    <x:row r="81" spans="1:44" s="52" customFormat="1" outlineLevel="2">
      <x:c r="A81" s="47" t="s">
        <x:v>200</x:v>
      </x:c>
      <x:c r="B81" s="21"/>
      <x:c r="C81" s="22"/>
      <x:c r="D81" s="94" t="s">
        <x:v>96</x:v>
      </x:c>
      <x:c r="E81" s="95"/>
      <x:c r="F81" s="95"/>
      <x:c r="G81" s="95"/>
      <x:c r="H81" s="95"/>
      <x:c r="I81" s="95"/>
      <x:c r="J81" s="95"/>
      <x:c r="K81" s="96"/>
      <x:c r="L81" s="23"/>
      <x:c r="M81" s="14">
        <x:v>45858</x:v>
      </x:c>
      <x:c r="N81" s="14">
        <x:v>45860</x:v>
      </x:c>
      <x:c r="O81" s="79">
        <x:f t="shared" si="1"/>
        <x:v>3</x:v>
      </x:c>
      <x:c r="P81" s="79">
        <x:v>3</x:v>
      </x:c>
      <x:c r="Q81" s="20">
        <x:v>1</x:v>
      </x:c>
      <x:c r="R81" s="84"/>
      <x:c r="S81" s="84"/>
      <x:c r="T81" s="16" t="s">
        <x:v>68</x:v>
      </x:c>
      <x:c r="U81" s="57">
        <x:v>1</x:v>
      </x:c>
      <x:c r="V81" s="57"/>
      <x:c r="W81" s="79"/>
      <x:c r="X81" s="79"/>
      <x:c r="Y81" s="79"/>
      <x:c r="Z81" s="79"/>
      <x:c r="AA81" s="79"/>
      <x:c r="AB81" s="79"/>
      <x:c r="AC81" s="79"/>
      <x:c r="AD81" s="79"/>
      <x:c r="AE81" s="79"/>
      <x:c r="AF81" s="79"/>
      <x:c r="AG81" s="79"/>
      <x:c r="AH81" s="79"/>
      <x:c r="AI81" s="79"/>
      <x:c r="AJ81" s="79"/>
      <x:c r="AK81" s="79"/>
      <x:c r="AL81" s="79"/>
      <x:c r="AM81" s="49"/>
      <x:c r="AN81" s="49"/>
      <x:c r="AO81" s="49"/>
      <x:c r="AP81" s="49"/>
      <x:c r="AQ81" s="49"/>
      <x:c r="AR81" s="51"/>
    </x:row>
    <x:row r="82" spans="1:44" s="52" customFormat="1" outlineLevel="2">
      <x:c r="A82" s="47" t="s">
        <x:v>149</x:v>
      </x:c>
      <x:c r="B82" s="21"/>
      <x:c r="C82" s="22"/>
      <x:c r="D82" s="94" t="s">
        <x:v>99</x:v>
      </x:c>
      <x:c r="E82" s="95"/>
      <x:c r="F82" s="95"/>
      <x:c r="G82" s="95"/>
      <x:c r="H82" s="95"/>
      <x:c r="I82" s="95"/>
      <x:c r="J82" s="95"/>
      <x:c r="K82" s="96"/>
      <x:c r="L82" s="23"/>
      <x:c r="M82" s="14">
        <x:v>45858</x:v>
      </x:c>
      <x:c r="N82" s="14">
        <x:v>45859</x:v>
      </x:c>
      <x:c r="O82" s="79">
        <x:f>N82-M82+1</x:f>
        <x:v>2</x:v>
      </x:c>
      <x:c r="P82" s="79">
        <x:v>2</x:v>
      </x:c>
      <x:c r="Q82" s="20">
        <x:v>1</x:v>
      </x:c>
      <x:c r="R82" s="78"/>
      <x:c r="S82" s="78"/>
      <x:c r="T82" s="16" t="s">
        <x:v>35</x:v>
      </x:c>
      <x:c r="U82" s="57">
        <x:v>1</x:v>
      </x:c>
      <x:c r="V82" s="57"/>
      <x:c r="W82" s="79"/>
      <x:c r="X82" s="79"/>
      <x:c r="Y82" s="79"/>
      <x:c r="Z82" s="79"/>
      <x:c r="AA82" s="79"/>
      <x:c r="AB82" s="79"/>
      <x:c r="AC82" s="79"/>
      <x:c r="AD82" s="79"/>
      <x:c r="AE82" s="79"/>
      <x:c r="AF82" s="79"/>
      <x:c r="AG82" s="79"/>
      <x:c r="AH82" s="79"/>
      <x:c r="AI82" s="79"/>
      <x:c r="AJ82" s="79"/>
      <x:c r="AK82" s="79"/>
      <x:c r="AL82" s="79"/>
      <x:c r="AM82" s="49"/>
      <x:c r="AN82" s="49"/>
      <x:c r="AO82" s="49"/>
      <x:c r="AP82" s="49"/>
      <x:c r="AQ82" s="49"/>
      <x:c r="AR82" s="51"/>
    </x:row>
    <x:row r="83" spans="1:44" s="52" customFormat="1" outlineLevel="2">
      <x:c r="A83" s="47" t="s">
        <x:v>193</x:v>
      </x:c>
      <x:c r="B83" s="21"/>
      <x:c r="C83" s="22"/>
      <x:c r="D83" s="94" t="s">
        <x:v>256</x:v>
      </x:c>
      <x:c r="E83" s="95"/>
      <x:c r="F83" s="95"/>
      <x:c r="G83" s="95"/>
      <x:c r="H83" s="95"/>
      <x:c r="I83" s="95"/>
      <x:c r="J83" s="95"/>
      <x:c r="K83" s="96"/>
      <x:c r="L83" s="23"/>
      <x:c r="M83" s="14">
        <x:v>45858</x:v>
      </x:c>
      <x:c r="N83" s="14">
        <x:v>45859</x:v>
      </x:c>
      <x:c r="O83" s="79">
        <x:f t="shared" si="1"/>
        <x:v>2</x:v>
      </x:c>
      <x:c r="P83" s="79">
        <x:v>2</x:v>
      </x:c>
      <x:c r="Q83" s="20">
        <x:f t="shared" si="4"/>
        <x:v>1</x:v>
      </x:c>
      <x:c r="R83" s="84"/>
      <x:c r="S83" s="84"/>
      <x:c r="T83" s="16" t="s">
        <x:v>59</x:v>
      </x:c>
      <x:c r="U83" s="57">
        <x:v>1</x:v>
      </x:c>
      <x:c r="V83" s="57"/>
      <x:c r="W83" s="79"/>
      <x:c r="X83" s="79"/>
      <x:c r="Y83" s="79"/>
      <x:c r="Z83" s="79"/>
      <x:c r="AA83" s="79"/>
      <x:c r="AB83" s="79"/>
      <x:c r="AC83" s="79"/>
      <x:c r="AD83" s="79"/>
      <x:c r="AE83" s="79"/>
      <x:c r="AF83" s="79"/>
      <x:c r="AG83" s="79"/>
      <x:c r="AH83" s="79"/>
      <x:c r="AI83" s="79"/>
      <x:c r="AJ83" s="79"/>
      <x:c r="AK83" s="79"/>
      <x:c r="AL83" s="79"/>
      <x:c r="AM83" s="49"/>
      <x:c r="AN83" s="49"/>
      <x:c r="AO83" s="49"/>
      <x:c r="AP83" s="49"/>
      <x:c r="AQ83" s="49"/>
      <x:c r="AR83" s="51"/>
    </x:row>
    <x:row r="84" spans="1:44" s="52" customFormat="1" outlineLevel="1">
      <x:c r="A84" s="47" t="s">
        <x:v>29</x:v>
      </x:c>
      <x:c r="B84" s="17"/>
      <x:c r="C84" s="97" t="s">
        <x:v>229</x:v>
      </x:c>
      <x:c r="D84" s="98"/>
      <x:c r="E84" s="98"/>
      <x:c r="F84" s="98"/>
      <x:c r="G84" s="98"/>
      <x:c r="H84" s="98"/>
      <x:c r="I84" s="98"/>
      <x:c r="J84" s="98"/>
      <x:c r="K84" s="99"/>
      <x:c r="L84" s="18"/>
      <x:c r="M84" s="14">
        <x:v>45860</x:v>
      </x:c>
      <x:c r="N84" s="14">
        <x:v>45860</x:v>
      </x:c>
      <x:c r="O84" s="79">
        <x:f t="shared" si="1"/>
        <x:v>1</x:v>
      </x:c>
      <x:c r="P84" s="79">
        <x:v>1</x:v>
      </x:c>
      <x:c r="Q84" s="20">
        <x:f t="shared" si="4"/>
        <x:v>1</x:v>
      </x:c>
      <x:c r="R84" s="84"/>
      <x:c r="S84" s="84"/>
      <x:c r="T84" s="16" t="s">
        <x:v>68</x:v>
      </x:c>
      <x:c r="U84" s="57">
        <x:v>1</x:v>
      </x:c>
      <x:c r="V84" s="57"/>
      <x:c r="W84" s="79"/>
      <x:c r="X84" s="79"/>
      <x:c r="Y84" s="79"/>
      <x:c r="Z84" s="79"/>
      <x:c r="AA84" s="79"/>
      <x:c r="AB84" s="79"/>
      <x:c r="AC84" s="79"/>
      <x:c r="AD84" s="79"/>
      <x:c r="AE84" s="79"/>
      <x:c r="AF84" s="79"/>
      <x:c r="AG84" s="79"/>
      <x:c r="AH84" s="79"/>
      <x:c r="AI84" s="79"/>
      <x:c r="AJ84" s="79"/>
      <x:c r="AK84" s="79"/>
      <x:c r="AL84" s="79"/>
      <x:c r="AM84" s="49"/>
      <x:c r="AN84" s="49"/>
      <x:c r="AO84" s="49"/>
      <x:c r="AP84" s="49"/>
      <x:c r="AQ84" s="49"/>
      <x:c r="AR84" s="51"/>
    </x:row>
    <x:row r="85" spans="1:44" s="52" customFormat="1" outlineLevel="2">
      <x:c r="A85" s="47" t="s">
        <x:v>157</x:v>
      </x:c>
      <x:c r="B85" s="21"/>
      <x:c r="C85" s="22"/>
      <x:c r="D85" s="94" t="s">
        <x:v>91</x:v>
      </x:c>
      <x:c r="E85" s="95"/>
      <x:c r="F85" s="95"/>
      <x:c r="G85" s="95"/>
      <x:c r="H85" s="95"/>
      <x:c r="I85" s="95"/>
      <x:c r="J85" s="95"/>
      <x:c r="K85" s="96"/>
      <x:c r="L85" s="23"/>
      <x:c r="M85" s="14">
        <x:v>45860</x:v>
      </x:c>
      <x:c r="N85" s="14">
        <x:v>45860</x:v>
      </x:c>
      <x:c r="O85" s="79">
        <x:f t="shared" si="1"/>
        <x:v>1</x:v>
      </x:c>
      <x:c r="P85" s="79">
        <x:v>1</x:v>
      </x:c>
      <x:c r="Q85" s="20">
        <x:f t="shared" si="4"/>
        <x:v>1</x:v>
      </x:c>
      <x:c r="R85" s="84"/>
      <x:c r="S85" s="84"/>
      <x:c r="T85" s="16" t="s">
        <x:v>68</x:v>
      </x:c>
      <x:c r="U85" s="57">
        <x:v>1</x:v>
      </x:c>
      <x:c r="V85" s="57"/>
      <x:c r="W85" s="79"/>
      <x:c r="X85" s="79"/>
      <x:c r="Y85" s="79"/>
      <x:c r="Z85" s="79"/>
      <x:c r="AA85" s="79"/>
      <x:c r="AB85" s="79"/>
      <x:c r="AC85" s="79"/>
      <x:c r="AD85" s="79"/>
      <x:c r="AE85" s="79"/>
      <x:c r="AF85" s="79"/>
      <x:c r="AG85" s="79"/>
      <x:c r="AH85" s="79"/>
      <x:c r="AI85" s="79"/>
      <x:c r="AJ85" s="79"/>
      <x:c r="AK85" s="79"/>
      <x:c r="AL85" s="79"/>
      <x:c r="AM85" s="49"/>
      <x:c r="AN85" s="49"/>
      <x:c r="AO85" s="49"/>
      <x:c r="AP85" s="49"/>
      <x:c r="AQ85" s="49"/>
      <x:c r="AR85" s="51"/>
    </x:row>
    <x:row r="86" spans="1:44" s="52" customFormat="1" outlineLevel="2">
      <x:c r="A86" s="47" t="s">
        <x:v>191</x:v>
      </x:c>
      <x:c r="B86" s="21"/>
      <x:c r="C86" s="22"/>
      <x:c r="D86" s="94" t="s">
        <x:v>105</x:v>
      </x:c>
      <x:c r="E86" s="95"/>
      <x:c r="F86" s="95"/>
      <x:c r="G86" s="95"/>
      <x:c r="H86" s="95"/>
      <x:c r="I86" s="95"/>
      <x:c r="J86" s="95"/>
      <x:c r="K86" s="96"/>
      <x:c r="L86" s="23"/>
      <x:c r="M86" s="14">
        <x:v>45860</x:v>
      </x:c>
      <x:c r="N86" s="14">
        <x:v>45860</x:v>
      </x:c>
      <x:c r="O86" s="79">
        <x:f t="shared" si="1"/>
        <x:v>1</x:v>
      </x:c>
      <x:c r="P86" s="79">
        <x:v>1</x:v>
      </x:c>
      <x:c r="Q86" s="20">
        <x:f>P86/O86</x:f>
        <x:v>1</x:v>
      </x:c>
      <x:c r="R86" s="79"/>
      <x:c r="S86" s="79"/>
      <x:c r="T86" s="16" t="s">
        <x:v>68</x:v>
      </x:c>
      <x:c r="U86" s="56">
        <x:v>1</x:v>
      </x:c>
      <x:c r="V86" s="56"/>
      <x:c r="W86" s="79"/>
      <x:c r="X86" s="79"/>
      <x:c r="Y86" s="79"/>
      <x:c r="Z86" s="79"/>
      <x:c r="AA86" s="79"/>
      <x:c r="AB86" s="79"/>
      <x:c r="AC86" s="79"/>
      <x:c r="AD86" s="79"/>
      <x:c r="AE86" s="79"/>
      <x:c r="AF86" s="79"/>
      <x:c r="AG86" s="79"/>
      <x:c r="AH86" s="79"/>
      <x:c r="AI86" s="79"/>
      <x:c r="AJ86" s="79"/>
      <x:c r="AK86" s="79"/>
      <x:c r="AL86" s="79"/>
      <x:c r="AM86" s="49"/>
      <x:c r="AN86" s="49"/>
      <x:c r="AO86" s="49"/>
      <x:c r="AP86" s="49"/>
      <x:c r="AQ86" s="49"/>
      <x:c r="AR86" s="51"/>
    </x:row>
    <x:row r="87" spans="1:44" s="52" customFormat="1" outlineLevel="2">
      <x:c r="A87" s="47" t="s">
        <x:v>152</x:v>
      </x:c>
      <x:c r="B87" s="21"/>
      <x:c r="C87" s="22"/>
      <x:c r="D87" s="94" t="s">
        <x:v>112</x:v>
      </x:c>
      <x:c r="E87" s="95"/>
      <x:c r="F87" s="95"/>
      <x:c r="G87" s="95"/>
      <x:c r="H87" s="95"/>
      <x:c r="I87" s="95"/>
      <x:c r="J87" s="95"/>
      <x:c r="K87" s="96"/>
      <x:c r="L87" s="23"/>
      <x:c r="M87" s="14">
        <x:v>45860</x:v>
      </x:c>
      <x:c r="N87" s="14">
        <x:v>45860</x:v>
      </x:c>
      <x:c r="O87" s="79">
        <x:f>N87-M87+1</x:f>
        <x:v>1</x:v>
      </x:c>
      <x:c r="P87" s="79">
        <x:v>1</x:v>
      </x:c>
      <x:c r="Q87" s="20">
        <x:f>P87/O87</x:f>
        <x:v>1</x:v>
      </x:c>
      <x:c r="R87" s="84"/>
      <x:c r="S87" s="84"/>
      <x:c r="T87" s="16" t="s">
        <x:v>35</x:v>
      </x:c>
      <x:c r="U87" s="57">
        <x:v>1</x:v>
      </x:c>
      <x:c r="V87" s="57"/>
      <x:c r="W87" s="79"/>
      <x:c r="X87" s="79"/>
      <x:c r="Y87" s="79"/>
      <x:c r="Z87" s="79"/>
      <x:c r="AA87" s="79"/>
      <x:c r="AB87" s="79"/>
      <x:c r="AC87" s="79"/>
      <x:c r="AD87" s="79"/>
      <x:c r="AE87" s="79"/>
      <x:c r="AF87" s="79"/>
      <x:c r="AG87" s="79"/>
      <x:c r="AH87" s="79"/>
      <x:c r="AI87" s="79"/>
      <x:c r="AJ87" s="79"/>
      <x:c r="AK87" s="79"/>
      <x:c r="AL87" s="79"/>
      <x:c r="AM87" s="49"/>
      <x:c r="AN87" s="49"/>
      <x:c r="AO87" s="49"/>
      <x:c r="AP87" s="49"/>
      <x:c r="AQ87" s="49"/>
      <x:c r="AR87" s="51"/>
    </x:row>
    <x:row r="88" spans="1:44" s="52" customFormat="1" outlineLevel="1">
      <x:c r="A88" s="47" t="s">
        <x:v>44</x:v>
      </x:c>
      <x:c r="B88" s="17"/>
      <x:c r="C88" s="97" t="s">
        <x:v>235</x:v>
      </x:c>
      <x:c r="D88" s="98"/>
      <x:c r="E88" s="98"/>
      <x:c r="F88" s="98"/>
      <x:c r="G88" s="98"/>
      <x:c r="H88" s="98"/>
      <x:c r="I88" s="98"/>
      <x:c r="J88" s="98"/>
      <x:c r="K88" s="99"/>
      <x:c r="L88" s="18"/>
      <x:c r="M88" s="14">
        <x:v>45859</x:v>
      </x:c>
      <x:c r="N88" s="14">
        <x:v>45860</x:v>
      </x:c>
      <x:c r="O88" s="79">
        <x:f>N88-M88+1</x:f>
        <x:v>2</x:v>
      </x:c>
      <x:c r="P88" s="79">
        <x:v>2</x:v>
      </x:c>
      <x:c r="Q88" s="20">
        <x:f>P88/O88</x:f>
        <x:v>1</x:v>
      </x:c>
      <x:c r="R88" s="86"/>
      <x:c r="S88" s="86"/>
      <x:c r="T88" s="16" t="s">
        <x:v>63</x:v>
      </x:c>
      <x:c r="U88" s="56">
        <x:v>1</x:v>
      </x:c>
      <x:c r="V88" s="57"/>
      <x:c r="W88" s="79"/>
      <x:c r="X88" s="79"/>
      <x:c r="Y88" s="79"/>
      <x:c r="Z88" s="79"/>
      <x:c r="AA88" s="79"/>
      <x:c r="AB88" s="79"/>
      <x:c r="AC88" s="79"/>
      <x:c r="AD88" s="79"/>
      <x:c r="AE88" s="79"/>
      <x:c r="AF88" s="79"/>
      <x:c r="AG88" s="79"/>
      <x:c r="AH88" s="79"/>
      <x:c r="AI88" s="79"/>
      <x:c r="AJ88" s="79"/>
      <x:c r="AK88" s="79"/>
      <x:c r="AL88" s="79"/>
      <x:c r="AM88" s="49"/>
      <x:c r="AN88" s="49"/>
      <x:c r="AO88" s="49"/>
      <x:c r="AP88" s="49"/>
      <x:c r="AQ88" s="49"/>
      <x:c r="AR88" s="51"/>
    </x:row>
    <x:row r="89" spans="1:44" s="52" customFormat="1" outlineLevel="2">
      <x:c r="A89" s="47" t="s">
        <x:v>207</x:v>
      </x:c>
      <x:c r="B89" s="21"/>
      <x:c r="C89" s="22"/>
      <x:c r="D89" s="94" t="s">
        <x:v>250</x:v>
      </x:c>
      <x:c r="E89" s="95"/>
      <x:c r="F89" s="95"/>
      <x:c r="G89" s="95"/>
      <x:c r="H89" s="95"/>
      <x:c r="I89" s="95"/>
      <x:c r="J89" s="95"/>
      <x:c r="K89" s="96"/>
      <x:c r="L89" s="23"/>
      <x:c r="M89" s="14">
        <x:v>45859</x:v>
      </x:c>
      <x:c r="N89" s="14">
        <x:v>45860</x:v>
      </x:c>
      <x:c r="O89" s="19">
        <x:f>N89-M89+1</x:f>
        <x:v>2</x:v>
      </x:c>
      <x:c r="P89" s="92">
        <x:v>2</x:v>
      </x:c>
      <x:c r="Q89" s="20">
        <x:f>P89/O89</x:f>
        <x:v>1</x:v>
      </x:c>
      <x:c r="R89" s="93"/>
      <x:c r="S89" s="24"/>
      <x:c r="T89" s="16" t="s">
        <x:v>63</x:v>
      </x:c>
      <x:c r="U89" s="56">
        <x:v>1</x:v>
      </x:c>
      <x:c r="V89" s="57"/>
      <x:c r="W89" s="79"/>
      <x:c r="X89" s="79"/>
      <x:c r="Y89" s="79"/>
      <x:c r="Z89" s="79"/>
      <x:c r="AA89" s="79"/>
      <x:c r="AB89" s="79"/>
      <x:c r="AC89" s="79"/>
      <x:c r="AD89" s="79"/>
      <x:c r="AE89" s="79"/>
      <x:c r="AF89" s="79"/>
      <x:c r="AG89" s="79"/>
      <x:c r="AH89" s="79"/>
      <x:c r="AI89" s="79"/>
      <x:c r="AJ89" s="79"/>
      <x:c r="AK89" s="79"/>
      <x:c r="AL89" s="79"/>
      <x:c r="AM89" s="49"/>
      <x:c r="AN89" s="49"/>
      <x:c r="AO89" s="49"/>
      <x:c r="AP89" s="49"/>
      <x:c r="AQ89" s="49"/>
      <x:c r="AR89" s="51"/>
    </x:row>
    <x:row r="90" spans="1:44" s="52" customFormat="1" outlineLevel="2">
      <x:c r="A90" s="47" t="s">
        <x:v>64</x:v>
      </x:c>
      <x:c r="B90" s="17"/>
      <x:c r="C90" s="97" t="s">
        <x:v>178</x:v>
      </x:c>
      <x:c r="D90" s="98"/>
      <x:c r="E90" s="98"/>
      <x:c r="F90" s="98"/>
      <x:c r="G90" s="98"/>
      <x:c r="H90" s="98"/>
      <x:c r="I90" s="98"/>
      <x:c r="J90" s="98"/>
      <x:c r="K90" s="99"/>
      <x:c r="L90" s="18"/>
      <x:c r="M90" s="14" t="s">
        <x:v>20</x:v>
      </x:c>
      <x:c r="N90" s="14" t="s">
        <x:v>20</x:v>
      </x:c>
      <x:c r="O90" s="19" t="e">
        <x:f>N90-M90+1</x:f>
        <x:v>#VALUE!</x:v>
      </x:c>
      <x:c r="P90" s="79" t="s">
        <x:v>20</x:v>
      </x:c>
      <x:c r="Q90" s="20" t="e">
        <x:f>P90/O90</x:f>
        <x:v>#VALUE!</x:v>
      </x:c>
      <x:c r="R90" s="19"/>
      <x:c r="S90" s="19"/>
      <x:c r="T90" s="16" t="s">
        <x:v>20</x:v>
      </x:c>
      <x:c r="U90" s="57">
        <x:v>0</x:v>
      </x:c>
      <x:c r="V90" s="57"/>
      <x:c r="W90" s="79"/>
      <x:c r="X90" s="79"/>
      <x:c r="Y90" s="79"/>
      <x:c r="Z90" s="79"/>
      <x:c r="AA90" s="79"/>
      <x:c r="AB90" s="79"/>
      <x:c r="AC90" s="79"/>
      <x:c r="AD90" s="79"/>
      <x:c r="AE90" s="79"/>
      <x:c r="AF90" s="79"/>
      <x:c r="AG90" s="79"/>
      <x:c r="AH90" s="79"/>
      <x:c r="AI90" s="79"/>
      <x:c r="AJ90" s="79"/>
      <x:c r="AK90" s="79"/>
      <x:c r="AL90" s="79"/>
      <x:c r="AM90" s="49"/>
      <x:c r="AN90" s="49"/>
      <x:c r="AO90" s="49"/>
      <x:c r="AP90" s="49"/>
      <x:c r="AQ90" s="49"/>
      <x:c r="AR90" s="51"/>
    </x:row>
    <x:row r="91" spans="1:44" s="52" customFormat="1" outlineLevel="2">
      <x:c r="A91" s="47" t="s">
        <x:v>187</x:v>
      </x:c>
      <x:c r="B91" s="21"/>
      <x:c r="C91" s="22"/>
      <x:c r="D91" s="94" t="s">
        <x:v>111</x:v>
      </x:c>
      <x:c r="E91" s="95"/>
      <x:c r="F91" s="95"/>
      <x:c r="G91" s="95"/>
      <x:c r="H91" s="95"/>
      <x:c r="I91" s="95"/>
      <x:c r="J91" s="95"/>
      <x:c r="K91" s="96"/>
      <x:c r="L91" s="23"/>
      <x:c r="M91" s="14">
        <x:v>45859</x:v>
      </x:c>
      <x:c r="N91" s="14">
        <x:v>45860</x:v>
      </x:c>
      <x:c r="O91" s="19">
        <x:f>N91-M91+1</x:f>
        <x:v>2</x:v>
      </x:c>
      <x:c r="P91" s="79">
        <x:v>2</x:v>
      </x:c>
      <x:c r="Q91" s="20">
        <x:f>P91/O91</x:f>
        <x:v>1</x:v>
      </x:c>
      <x:c r="R91" s="24"/>
      <x:c r="S91" s="24"/>
      <x:c r="T91" s="16" t="s">
        <x:v>59</x:v>
      </x:c>
      <x:c r="U91" s="57">
        <x:v>1</x:v>
      </x:c>
      <x:c r="V91" s="57"/>
      <x:c r="W91" s="79"/>
      <x:c r="X91" s="79"/>
      <x:c r="Y91" s="79"/>
      <x:c r="Z91" s="79"/>
      <x:c r="AA91" s="79"/>
      <x:c r="AB91" s="79"/>
      <x:c r="AC91" s="79"/>
      <x:c r="AD91" s="79"/>
      <x:c r="AE91" s="79"/>
      <x:c r="AF91" s="79"/>
      <x:c r="AG91" s="79"/>
      <x:c r="AH91" s="79"/>
      <x:c r="AI91" s="79"/>
      <x:c r="AJ91" s="79"/>
      <x:c r="AK91" s="79"/>
      <x:c r="AL91" s="79"/>
      <x:c r="AM91" s="49"/>
      <x:c r="AN91" s="49"/>
      <x:c r="AO91" s="49"/>
      <x:c r="AP91" s="49"/>
      <x:c r="AQ91" s="49"/>
      <x:c r="AR91" s="51"/>
    </x:row>
    <x:row r="92" spans="1:44" s="52" customFormat="1" outlineLevel="2">
      <x:c r="A92" s="47" t="s">
        <x:v>194</x:v>
      </x:c>
      <x:c r="B92" s="21"/>
      <x:c r="C92" s="22"/>
      <x:c r="D92" s="94" t="s">
        <x:v>259</x:v>
      </x:c>
      <x:c r="E92" s="95"/>
      <x:c r="F92" s="95"/>
      <x:c r="G92" s="95"/>
      <x:c r="H92" s="95"/>
      <x:c r="I92" s="95"/>
      <x:c r="J92" s="95"/>
      <x:c r="K92" s="96"/>
      <x:c r="L92" s="23"/>
      <x:c r="M92" s="14" t="s">
        <x:v>20</x:v>
      </x:c>
      <x:c r="N92" s="14" t="s">
        <x:v>20</x:v>
      </x:c>
      <x:c r="O92" s="19" t="e">
        <x:f>N92-M92+1</x:f>
        <x:v>#VALUE!</x:v>
      </x:c>
      <x:c r="P92" s="79" t="s">
        <x:v>20</x:v>
      </x:c>
      <x:c r="Q92" s="20" t="e">
        <x:f>P92/O92</x:f>
        <x:v>#VALUE!</x:v>
      </x:c>
      <x:c r="R92" s="24"/>
      <x:c r="S92" s="24"/>
      <x:c r="T92" s="16"/>
      <x:c r="U92" s="57">
        <x:v>0</x:v>
      </x:c>
      <x:c r="V92" s="57"/>
      <x:c r="W92" s="79"/>
      <x:c r="X92" s="79"/>
      <x:c r="Y92" s="79"/>
      <x:c r="Z92" s="79"/>
      <x:c r="AA92" s="79"/>
      <x:c r="AB92" s="79"/>
      <x:c r="AC92" s="79"/>
      <x:c r="AD92" s="79"/>
      <x:c r="AE92" s="79"/>
      <x:c r="AF92" s="79"/>
      <x:c r="AG92" s="79"/>
      <x:c r="AH92" s="79"/>
      <x:c r="AI92" s="79"/>
      <x:c r="AJ92" s="79"/>
      <x:c r="AK92" s="79"/>
      <x:c r="AL92" s="79"/>
      <x:c r="AM92" s="49"/>
      <x:c r="AN92" s="49"/>
      <x:c r="AO92" s="49"/>
      <x:c r="AP92" s="49"/>
      <x:c r="AQ92" s="49"/>
      <x:c r="AR92" s="51"/>
    </x:row>
    <x:row r="93" spans="1:44" s="52" customFormat="1" outlineLevel="2">
      <x:c r="A93" s="47" t="s">
        <x:v>180</x:v>
      </x:c>
      <x:c r="B93" s="21"/>
      <x:c r="C93" s="22"/>
      <x:c r="D93" s="94" t="s">
        <x:v>3</x:v>
      </x:c>
      <x:c r="E93" s="95"/>
      <x:c r="F93" s="95"/>
      <x:c r="G93" s="95"/>
      <x:c r="H93" s="95"/>
      <x:c r="I93" s="95"/>
      <x:c r="J93" s="95"/>
      <x:c r="K93" s="96"/>
      <x:c r="L93" s="23"/>
      <x:c r="M93" s="14" t="s">
        <x:v>20</x:v>
      </x:c>
      <x:c r="N93" s="14" t="s">
        <x:v>20</x:v>
      </x:c>
      <x:c r="O93" s="19" t="e">
        <x:f>N93-M93+1</x:f>
        <x:v>#VALUE!</x:v>
      </x:c>
      <x:c r="P93" s="79" t="s">
        <x:v>20</x:v>
      </x:c>
      <x:c r="Q93" s="20" t="e">
        <x:f>P93/O93</x:f>
        <x:v>#VALUE!</x:v>
      </x:c>
      <x:c r="R93" s="24"/>
      <x:c r="S93" s="24"/>
      <x:c r="T93" s="16"/>
      <x:c r="U93" s="57">
        <x:v>0</x:v>
      </x:c>
      <x:c r="V93" s="57"/>
      <x:c r="W93" s="79"/>
      <x:c r="X93" s="79"/>
      <x:c r="Y93" s="79"/>
      <x:c r="Z93" s="79"/>
      <x:c r="AA93" s="79"/>
      <x:c r="AB93" s="79"/>
      <x:c r="AC93" s="79"/>
      <x:c r="AD93" s="79"/>
      <x:c r="AE93" s="79"/>
      <x:c r="AF93" s="79"/>
      <x:c r="AG93" s="79"/>
      <x:c r="AH93" s="79"/>
      <x:c r="AI93" s="79"/>
      <x:c r="AJ93" s="79"/>
      <x:c r="AK93" s="79"/>
      <x:c r="AL93" s="79"/>
      <x:c r="AM93" s="49"/>
      <x:c r="AN93" s="49"/>
      <x:c r="AO93" s="49"/>
      <x:c r="AP93" s="49"/>
      <x:c r="AQ93" s="49"/>
      <x:c r="AR93" s="51"/>
    </x:row>
    <x:row r="94" spans="1:44" s="52" customFormat="1" outlineLevel="1">
      <x:c r="A94" s="47" t="s">
        <x:v>58</x:v>
      </x:c>
      <x:c r="B94" s="17"/>
      <x:c r="C94" s="97" t="s">
        <x:v>202</x:v>
      </x:c>
      <x:c r="D94" s="98"/>
      <x:c r="E94" s="98"/>
      <x:c r="F94" s="98"/>
      <x:c r="G94" s="98"/>
      <x:c r="H94" s="98"/>
      <x:c r="I94" s="98"/>
      <x:c r="J94" s="98"/>
      <x:c r="K94" s="99"/>
      <x:c r="L94" s="18"/>
      <x:c r="M94" s="14">
        <x:v>45860</x:v>
      </x:c>
      <x:c r="N94" s="14">
        <x:v>45860</x:v>
      </x:c>
      <x:c r="O94" s="19">
        <x:f>N94-M94+1</x:f>
        <x:v>1</x:v>
      </x:c>
      <x:c r="P94" s="79" t="s">
        <x:v>20</x:v>
      </x:c>
      <x:c r="Q94" s="20" t="e">
        <x:f>P94/O94</x:f>
        <x:v>#VALUE!</x:v>
      </x:c>
      <x:c r="R94" s="19"/>
      <x:c r="S94" s="19"/>
      <x:c r="T94" s="16"/>
      <x:c r="U94" s="57">
        <x:v>0</x:v>
      </x:c>
      <x:c r="V94" s="57"/>
      <x:c r="W94" s="79"/>
      <x:c r="X94" s="79"/>
      <x:c r="Y94" s="79"/>
      <x:c r="Z94" s="79"/>
      <x:c r="AA94" s="79"/>
      <x:c r="AB94" s="79"/>
      <x:c r="AC94" s="79"/>
      <x:c r="AD94" s="79"/>
      <x:c r="AE94" s="79"/>
      <x:c r="AF94" s="79"/>
      <x:c r="AG94" s="79"/>
      <x:c r="AH94" s="79"/>
      <x:c r="AI94" s="79"/>
      <x:c r="AJ94" s="79"/>
      <x:c r="AK94" s="79"/>
      <x:c r="AL94" s="79"/>
      <x:c r="AM94" s="49"/>
      <x:c r="AN94" s="49"/>
      <x:c r="AO94" s="49"/>
      <x:c r="AP94" s="49"/>
      <x:c r="AQ94" s="49"/>
      <x:c r="AR94" s="51"/>
    </x:row>
    <x:row r="95" spans="1:44" s="52" customFormat="1" outlineLevel="2">
      <x:c r="A95" s="47" t="s">
        <x:v>177</x:v>
      </x:c>
      <x:c r="B95" s="21"/>
      <x:c r="C95" s="22"/>
      <x:c r="D95" s="94" t="s">
        <x:v>83</x:v>
      </x:c>
      <x:c r="E95" s="95"/>
      <x:c r="F95" s="95"/>
      <x:c r="G95" s="95"/>
      <x:c r="H95" s="95"/>
      <x:c r="I95" s="95"/>
      <x:c r="J95" s="95"/>
      <x:c r="K95" s="96"/>
      <x:c r="L95" s="23"/>
      <x:c r="M95" s="14">
        <x:v>45860</x:v>
      </x:c>
      <x:c r="N95" s="14">
        <x:v>45860</x:v>
      </x:c>
      <x:c r="O95" s="19">
        <x:f>N95-M95+1</x:f>
        <x:v>1</x:v>
      </x:c>
      <x:c r="P95" s="79">
        <x:v>1</x:v>
      </x:c>
      <x:c r="Q95" s="20">
        <x:f>P95/O95</x:f>
        <x:v>1</x:v>
      </x:c>
      <x:c r="R95" s="24"/>
      <x:c r="S95" s="24"/>
      <x:c r="T95" s="16" t="s">
        <x:v>59</x:v>
      </x:c>
      <x:c r="U95" s="57">
        <x:v>1</x:v>
      </x:c>
      <x:c r="V95" s="57"/>
      <x:c r="W95" s="79"/>
      <x:c r="X95" s="79"/>
      <x:c r="Y95" s="79"/>
      <x:c r="Z95" s="79"/>
      <x:c r="AA95" s="79"/>
      <x:c r="AB95" s="79"/>
      <x:c r="AC95" s="79"/>
      <x:c r="AD95" s="79"/>
      <x:c r="AE95" s="79"/>
      <x:c r="AF95" s="79"/>
      <x:c r="AG95" s="79"/>
      <x:c r="AH95" s="79"/>
      <x:c r="AI95" s="79"/>
      <x:c r="AJ95" s="79"/>
      <x:c r="AK95" s="79"/>
      <x:c r="AL95" s="79"/>
      <x:c r="AM95" s="49"/>
      <x:c r="AN95" s="49"/>
      <x:c r="AO95" s="49"/>
      <x:c r="AP95" s="49"/>
      <x:c r="AQ95" s="49"/>
      <x:c r="AR95" s="51"/>
    </x:row>
    <x:row r="96" spans="1:44" s="52" customFormat="1" outlineLevel="2">
      <x:c r="A96" s="47" t="s">
        <x:v>170</x:v>
      </x:c>
      <x:c r="B96" s="21"/>
      <x:c r="C96" s="22"/>
      <x:c r="D96" s="94" t="s">
        <x:v>206</x:v>
      </x:c>
      <x:c r="E96" s="95"/>
      <x:c r="F96" s="95"/>
      <x:c r="G96" s="95"/>
      <x:c r="H96" s="95"/>
      <x:c r="I96" s="95"/>
      <x:c r="J96" s="95"/>
      <x:c r="K96" s="96"/>
      <x:c r="L96" s="23"/>
      <x:c r="M96" s="14">
        <x:v>45860</x:v>
      </x:c>
      <x:c r="N96" s="14">
        <x:v>45860</x:v>
      </x:c>
      <x:c r="O96" s="19">
        <x:f>N96-M96+1</x:f>
        <x:v>1</x:v>
      </x:c>
      <x:c r="P96" s="79">
        <x:v>1</x:v>
      </x:c>
      <x:c r="Q96" s="20">
        <x:f>P96/O96</x:f>
        <x:v>1</x:v>
      </x:c>
      <x:c r="R96" s="24"/>
      <x:c r="S96" s="24"/>
      <x:c r="T96" s="16" t="s">
        <x:v>59</x:v>
      </x:c>
      <x:c r="U96" s="57">
        <x:v>1</x:v>
      </x:c>
      <x:c r="V96" s="57"/>
      <x:c r="W96" s="79"/>
      <x:c r="X96" s="79"/>
      <x:c r="Y96" s="79"/>
      <x:c r="Z96" s="79"/>
      <x:c r="AA96" s="79"/>
      <x:c r="AB96" s="79"/>
      <x:c r="AC96" s="79"/>
      <x:c r="AD96" s="79"/>
      <x:c r="AE96" s="79"/>
      <x:c r="AF96" s="79"/>
      <x:c r="AG96" s="79"/>
      <x:c r="AH96" s="79"/>
      <x:c r="AI96" s="79"/>
      <x:c r="AJ96" s="79"/>
      <x:c r="AK96" s="79"/>
      <x:c r="AL96" s="79"/>
      <x:c r="AM96" s="49"/>
      <x:c r="AN96" s="49"/>
      <x:c r="AO96" s="49"/>
      <x:c r="AP96" s="49"/>
      <x:c r="AQ96" s="49"/>
      <x:c r="AR96" s="51"/>
    </x:row>
    <x:row r="97" spans="1:44">
      <x:c r="A97" s="46" t="s">
        <x:v>37</x:v>
      </x:c>
      <x:c r="B97" s="100" t="s">
        <x:v>27</x:v>
      </x:c>
      <x:c r="C97" s="101"/>
      <x:c r="D97" s="101"/>
      <x:c r="E97" s="101"/>
      <x:c r="F97" s="101"/>
      <x:c r="G97" s="101"/>
      <x:c r="H97" s="101"/>
      <x:c r="I97" s="101"/>
      <x:c r="J97" s="101"/>
      <x:c r="K97" s="102"/>
      <x:c r="L97" s="65"/>
      <x:c r="M97" s="14" t="s">
        <x:v>20</x:v>
      </x:c>
      <x:c r="N97" s="14" t="s">
        <x:v>20</x:v>
      </x:c>
      <x:c r="O97" s="78" t="e">
        <x:f>N97-M97+1</x:f>
        <x:v>#VALUE!</x:v>
      </x:c>
      <x:c r="P97" s="78">
        <x:v>0</x:v>
      </x:c>
      <x:c r="Q97" s="66" t="e">
        <x:f>P97/O97</x:f>
        <x:v>#VALUE!</x:v>
      </x:c>
      <x:c r="R97" s="78"/>
      <x:c r="S97" s="78"/>
      <x:c r="T97" s="83" t="s">
        <x:v>20</x:v>
      </x:c>
      <x:c r="U97" s="67">
        <x:v>0</x:v>
      </x:c>
      <x:c r="V97" s="67"/>
      <x:c r="W97" s="79"/>
      <x:c r="X97" s="79"/>
      <x:c r="Y97" s="79"/>
      <x:c r="Z97" s="79"/>
      <x:c r="AA97" s="79"/>
      <x:c r="AB97" s="79"/>
      <x:c r="AC97" s="79"/>
      <x:c r="AD97" s="79"/>
      <x:c r="AE97" s="79"/>
      <x:c r="AF97" s="79"/>
      <x:c r="AG97" s="79"/>
      <x:c r="AH97" s="79"/>
      <x:c r="AI97" s="79"/>
      <x:c r="AJ97" s="79"/>
      <x:c r="AK97" s="79"/>
      <x:c r="AL97" s="79"/>
      <x:c r="AM97" s="36"/>
      <x:c r="AN97" s="36"/>
      <x:c r="AO97" s="36"/>
      <x:c r="AP97" s="36"/>
      <x:c r="AQ97" s="36"/>
      <x:c r="AR97" s="1"/>
    </x:row>
    <x:row r="98" spans="1:44" s="52" customFormat="1" outlineLevel="1">
      <x:c r="A98" s="47" t="s">
        <x:v>52</x:v>
      </x:c>
      <x:c r="B98" s="17"/>
      <x:c r="C98" s="97" t="s">
        <x:v>113</x:v>
      </x:c>
      <x:c r="D98" s="98"/>
      <x:c r="E98" s="98"/>
      <x:c r="F98" s="98"/>
      <x:c r="G98" s="98"/>
      <x:c r="H98" s="98"/>
      <x:c r="I98" s="98"/>
      <x:c r="J98" s="98"/>
      <x:c r="K98" s="99"/>
      <x:c r="L98" s="18"/>
      <x:c r="M98" s="14">
        <x:v>45860</x:v>
      </x:c>
      <x:c r="N98" s="14">
        <x:v>45860</x:v>
      </x:c>
      <x:c r="O98" s="19">
        <x:f>N98-M98+1</x:f>
        <x:v>1</x:v>
      </x:c>
      <x:c r="P98" s="79">
        <x:v>1</x:v>
      </x:c>
      <x:c r="Q98" s="20">
        <x:f>P98/O98</x:f>
        <x:v>1</x:v>
      </x:c>
      <x:c r="R98" s="19"/>
      <x:c r="S98" s="19"/>
      <x:c r="T98" s="16" t="s">
        <x:v>34</x:v>
      </x:c>
      <x:c r="U98" s="57">
        <x:v>1</x:v>
      </x:c>
      <x:c r="V98" s="57"/>
      <x:c r="W98" s="79"/>
      <x:c r="X98" s="79"/>
      <x:c r="Y98" s="79"/>
      <x:c r="Z98" s="79"/>
      <x:c r="AA98" s="79"/>
      <x:c r="AB98" s="79"/>
      <x:c r="AC98" s="79"/>
      <x:c r="AD98" s="79"/>
      <x:c r="AE98" s="79"/>
      <x:c r="AF98" s="79"/>
      <x:c r="AG98" s="79"/>
      <x:c r="AH98" s="79"/>
      <x:c r="AI98" s="79"/>
      <x:c r="AJ98" s="79"/>
      <x:c r="AK98" s="79"/>
      <x:c r="AL98" s="79"/>
      <x:c r="AM98" s="49"/>
      <x:c r="AN98" s="49"/>
      <x:c r="AO98" s="49"/>
      <x:c r="AP98" s="49"/>
      <x:c r="AQ98" s="49"/>
      <x:c r="AR98" s="51"/>
    </x:row>
    <x:row r="99" spans="1:44" s="52" customFormat="1" outlineLevel="2">
      <x:c r="A99" s="47" t="s">
        <x:v>188</x:v>
      </x:c>
      <x:c r="B99" s="21"/>
      <x:c r="C99" s="22"/>
      <x:c r="D99" s="94" t="s">
        <x:v>79</x:v>
      </x:c>
      <x:c r="E99" s="95"/>
      <x:c r="F99" s="95"/>
      <x:c r="G99" s="95"/>
      <x:c r="H99" s="95"/>
      <x:c r="I99" s="95"/>
      <x:c r="J99" s="95"/>
      <x:c r="K99" s="96"/>
      <x:c r="L99" s="23"/>
      <x:c r="M99" s="14">
        <x:v>45860</x:v>
      </x:c>
      <x:c r="N99" s="14">
        <x:v>45860</x:v>
      </x:c>
      <x:c r="O99" s="19">
        <x:f>N99-M99+1</x:f>
        <x:v>1</x:v>
      </x:c>
      <x:c r="P99" s="79">
        <x:v>1</x:v>
      </x:c>
      <x:c r="Q99" s="20">
        <x:f>P99/O99</x:f>
        <x:v>1</x:v>
      </x:c>
      <x:c r="R99" s="24"/>
      <x:c r="S99" s="24"/>
      <x:c r="T99" s="16" t="s">
        <x:v>34</x:v>
      </x:c>
      <x:c r="U99" s="57">
        <x:v>1</x:v>
      </x:c>
      <x:c r="V99" s="57"/>
      <x:c r="W99" s="79"/>
      <x:c r="X99" s="79"/>
      <x:c r="Y99" s="79"/>
      <x:c r="Z99" s="79"/>
      <x:c r="AA99" s="79"/>
      <x:c r="AB99" s="79"/>
      <x:c r="AC99" s="79"/>
      <x:c r="AD99" s="79"/>
      <x:c r="AE99" s="79"/>
      <x:c r="AF99" s="79"/>
      <x:c r="AG99" s="79"/>
      <x:c r="AH99" s="79"/>
      <x:c r="AI99" s="79"/>
      <x:c r="AJ99" s="79"/>
      <x:c r="AK99" s="79"/>
      <x:c r="AL99" s="79"/>
      <x:c r="AM99" s="49"/>
      <x:c r="AN99" s="49"/>
      <x:c r="AO99" s="49"/>
      <x:c r="AP99" s="49"/>
      <x:c r="AQ99" s="49"/>
      <x:c r="AR99" s="51"/>
    </x:row>
    <x:row r="100" spans="1:44" s="52" customFormat="1" outlineLevel="1">
      <x:c r="A100" s="47" t="s">
        <x:v>50</x:v>
      </x:c>
      <x:c r="B100" s="17"/>
      <x:c r="C100" s="97" t="s">
        <x:v>199</x:v>
      </x:c>
      <x:c r="D100" s="98"/>
      <x:c r="E100" s="98"/>
      <x:c r="F100" s="98"/>
      <x:c r="G100" s="98"/>
      <x:c r="H100" s="98"/>
      <x:c r="I100" s="98"/>
      <x:c r="J100" s="98"/>
      <x:c r="K100" s="99"/>
      <x:c r="L100" s="18"/>
      <x:c r="M100" s="14">
        <x:v>45860</x:v>
      </x:c>
      <x:c r="N100" s="14">
        <x:v>45860</x:v>
      </x:c>
      <x:c r="O100" s="19">
        <x:f>N100-M100+1</x:f>
        <x:v>1</x:v>
      </x:c>
      <x:c r="P100" s="79">
        <x:v>1</x:v>
      </x:c>
      <x:c r="Q100" s="20">
        <x:f>P100/O100</x:f>
        <x:v>1</x:v>
      </x:c>
      <x:c r="R100" s="19"/>
      <x:c r="S100" s="19"/>
      <x:c r="T100" s="16" t="s">
        <x:v>34</x:v>
      </x:c>
      <x:c r="U100" s="57">
        <x:v>1</x:v>
      </x:c>
      <x:c r="V100" s="57"/>
      <x:c r="W100" s="79"/>
      <x:c r="X100" s="79"/>
      <x:c r="Y100" s="79"/>
      <x:c r="Z100" s="79"/>
      <x:c r="AA100" s="79"/>
      <x:c r="AB100" s="79"/>
      <x:c r="AC100" s="79"/>
      <x:c r="AD100" s="79"/>
      <x:c r="AE100" s="79"/>
      <x:c r="AF100" s="79"/>
      <x:c r="AG100" s="79"/>
      <x:c r="AH100" s="79"/>
      <x:c r="AI100" s="79"/>
      <x:c r="AJ100" s="79"/>
      <x:c r="AK100" s="79"/>
      <x:c r="AL100" s="79"/>
      <x:c r="AM100" s="49"/>
      <x:c r="AN100" s="49"/>
      <x:c r="AO100" s="49"/>
      <x:c r="AP100" s="49"/>
      <x:c r="AQ100" s="49"/>
      <x:c r="AR100" s="51"/>
    </x:row>
    <x:row r="101" spans="1:44" s="52" customFormat="1" outlineLevel="2">
      <x:c r="A101" s="47" t="s">
        <x:v>228</x:v>
      </x:c>
      <x:c r="B101" s="21"/>
      <x:c r="C101" s="22"/>
      <x:c r="D101" s="94" t="s">
        <x:v>252</x:v>
      </x:c>
      <x:c r="E101" s="95"/>
      <x:c r="F101" s="95"/>
      <x:c r="G101" s="95"/>
      <x:c r="H101" s="95"/>
      <x:c r="I101" s="95"/>
      <x:c r="J101" s="95"/>
      <x:c r="K101" s="96"/>
      <x:c r="L101" s="23"/>
      <x:c r="M101" s="14">
        <x:v>45860</x:v>
      </x:c>
      <x:c r="N101" s="14">
        <x:v>45860</x:v>
      </x:c>
      <x:c r="O101" s="19">
        <x:f>N101-M101+1</x:f>
        <x:v>1</x:v>
      </x:c>
      <x:c r="P101" s="79">
        <x:v>1</x:v>
      </x:c>
      <x:c r="Q101" s="20">
        <x:f>P101/O101</x:f>
        <x:v>1</x:v>
      </x:c>
      <x:c r="R101" s="24"/>
      <x:c r="S101" s="24"/>
      <x:c r="T101" s="16" t="s">
        <x:v>34</x:v>
      </x:c>
      <x:c r="U101" s="57">
        <x:v>1</x:v>
      </x:c>
      <x:c r="V101" s="57"/>
      <x:c r="W101" s="79"/>
      <x:c r="X101" s="79"/>
      <x:c r="Y101" s="79"/>
      <x:c r="Z101" s="79"/>
      <x:c r="AA101" s="79"/>
      <x:c r="AB101" s="79"/>
      <x:c r="AC101" s="79"/>
      <x:c r="AD101" s="79"/>
      <x:c r="AE101" s="79"/>
      <x:c r="AF101" s="79"/>
      <x:c r="AG101" s="79"/>
      <x:c r="AH101" s="79"/>
      <x:c r="AI101" s="79"/>
      <x:c r="AJ101" s="79"/>
      <x:c r="AK101" s="79"/>
      <x:c r="AL101" s="79"/>
      <x:c r="AM101" s="49"/>
      <x:c r="AN101" s="49"/>
      <x:c r="AO101" s="49"/>
      <x:c r="AP101" s="49"/>
      <x:c r="AQ101" s="49"/>
      <x:c r="AR101" s="51"/>
    </x:row>
    <x:row r="102" spans="1:44" s="52" customFormat="1" outlineLevel="2">
      <x:c r="A102" s="47" t="s">
        <x:v>142</x:v>
      </x:c>
      <x:c r="B102" s="21"/>
      <x:c r="C102" s="22"/>
      <x:c r="D102" s="94" t="s">
        <x:v>131</x:v>
      </x:c>
      <x:c r="E102" s="95"/>
      <x:c r="F102" s="95"/>
      <x:c r="G102" s="95"/>
      <x:c r="H102" s="95"/>
      <x:c r="I102" s="95"/>
      <x:c r="J102" s="95"/>
      <x:c r="K102" s="96"/>
      <x:c r="L102" s="23"/>
      <x:c r="M102" s="14">
        <x:v>45860</x:v>
      </x:c>
      <x:c r="N102" s="14">
        <x:v>45860</x:v>
      </x:c>
      <x:c r="O102" s="19">
        <x:f>N102-M102+1</x:f>
        <x:v>1</x:v>
      </x:c>
      <x:c r="P102" s="79">
        <x:v>1</x:v>
      </x:c>
      <x:c r="Q102" s="20">
        <x:f>P102/O102</x:f>
        <x:v>1</x:v>
      </x:c>
      <x:c r="R102" s="24"/>
      <x:c r="S102" s="24"/>
      <x:c r="T102" s="16" t="s">
        <x:v>35</x:v>
      </x:c>
      <x:c r="U102" s="57">
        <x:v>1</x:v>
      </x:c>
      <x:c r="V102" s="57"/>
      <x:c r="W102" s="79"/>
      <x:c r="X102" s="79"/>
      <x:c r="Y102" s="79"/>
      <x:c r="Z102" s="79"/>
      <x:c r="AA102" s="79"/>
      <x:c r="AB102" s="79"/>
      <x:c r="AC102" s="79"/>
      <x:c r="AD102" s="79"/>
      <x:c r="AE102" s="79"/>
      <x:c r="AF102" s="79"/>
      <x:c r="AG102" s="79"/>
      <x:c r="AH102" s="79"/>
      <x:c r="AI102" s="79"/>
      <x:c r="AJ102" s="79"/>
      <x:c r="AK102" s="79"/>
      <x:c r="AL102" s="79"/>
      <x:c r="AM102" s="49"/>
      <x:c r="AN102" s="49"/>
      <x:c r="AO102" s="49"/>
      <x:c r="AP102" s="49"/>
      <x:c r="AQ102" s="49"/>
      <x:c r="AR102" s="51"/>
    </x:row>
    <x:row r="103" spans="1:44" hidden="1">
      <x:c r="A103" s="46" t="s">
        <x:v>48</x:v>
      </x:c>
      <x:c r="B103" s="100" t="s">
        <x:v>10</x:v>
      </x:c>
      <x:c r="C103" s="101"/>
      <x:c r="D103" s="101"/>
      <x:c r="E103" s="101"/>
      <x:c r="F103" s="101"/>
      <x:c r="G103" s="101"/>
      <x:c r="H103" s="101"/>
      <x:c r="I103" s="101"/>
      <x:c r="J103" s="101"/>
      <x:c r="K103" s="102"/>
      <x:c r="L103" s="65"/>
      <x:c r="M103" s="14" t="s">
        <x:v>20</x:v>
      </x:c>
      <x:c r="N103" s="14" t="s">
        <x:v>20</x:v>
      </x:c>
      <x:c r="O103" s="78" t="e">
        <x:f>N103-M103+1</x:f>
        <x:v>#VALUE!</x:v>
      </x:c>
      <x:c r="P103" s="78">
        <x:v>0</x:v>
      </x:c>
      <x:c r="Q103" s="66" t="e">
        <x:f>P103/O103</x:f>
        <x:v>#VALUE!</x:v>
      </x:c>
      <x:c r="R103" s="78"/>
      <x:c r="S103" s="78"/>
      <x:c r="T103" s="83" t="s">
        <x:v>20</x:v>
      </x:c>
      <x:c r="U103" s="67">
        <x:v>0</x:v>
      </x:c>
      <x:c r="V103" s="67"/>
      <x:c r="W103" s="79"/>
      <x:c r="X103" s="79"/>
      <x:c r="Y103" s="79"/>
      <x:c r="Z103" s="79"/>
      <x:c r="AA103" s="79"/>
      <x:c r="AB103" s="79"/>
      <x:c r="AC103" s="79"/>
      <x:c r="AD103" s="79"/>
      <x:c r="AE103" s="79"/>
      <x:c r="AF103" s="79"/>
      <x:c r="AG103" s="79"/>
      <x:c r="AH103" s="79"/>
      <x:c r="AI103" s="79"/>
      <x:c r="AJ103" s="79"/>
      <x:c r="AK103" s="79"/>
      <x:c r="AL103" s="79"/>
      <x:c r="AM103" s="36"/>
      <x:c r="AN103" s="36"/>
      <x:c r="AO103" s="36"/>
      <x:c r="AP103" s="36"/>
      <x:c r="AQ103" s="36"/>
      <x:c r="AR103" s="1"/>
    </x:row>
    <x:row r="104" spans="1:44" s="52" customFormat="1" hidden="1" outlineLevel="1">
      <x:c r="A104" s="47" t="s">
        <x:v>45</x:v>
      </x:c>
      <x:c r="B104" s="17"/>
      <x:c r="C104" s="97" t="s">
        <x:v>244</x:v>
      </x:c>
      <x:c r="D104" s="98"/>
      <x:c r="E104" s="98"/>
      <x:c r="F104" s="98"/>
      <x:c r="G104" s="98"/>
      <x:c r="H104" s="98"/>
      <x:c r="I104" s="98"/>
      <x:c r="J104" s="98"/>
      <x:c r="K104" s="99"/>
      <x:c r="L104" s="18"/>
      <x:c r="M104" s="14" t="s">
        <x:v>20</x:v>
      </x:c>
      <x:c r="N104" s="14" t="s">
        <x:v>20</x:v>
      </x:c>
      <x:c r="O104" s="19" t="e">
        <x:f t="shared" ref="O104:O114" si="5">N104-M104</x:f>
        <x:v>#VALUE!</x:v>
      </x:c>
      <x:c r="P104" s="79" t="s">
        <x:v>20</x:v>
      </x:c>
      <x:c r="Q104" s="20" t="e">
        <x:f>P104/O104</x:f>
        <x:v>#VALUE!</x:v>
      </x:c>
      <x:c r="R104" s="19"/>
      <x:c r="S104" s="19"/>
      <x:c r="T104" s="16"/>
      <x:c r="U104" s="57">
        <x:v>0</x:v>
      </x:c>
      <x:c r="V104" s="57"/>
      <x:c r="W104" s="79"/>
      <x:c r="X104" s="79"/>
      <x:c r="Y104" s="79"/>
      <x:c r="Z104" s="79"/>
      <x:c r="AA104" s="79"/>
      <x:c r="AB104" s="79"/>
      <x:c r="AC104" s="79"/>
      <x:c r="AD104" s="79"/>
      <x:c r="AE104" s="79"/>
      <x:c r="AF104" s="79"/>
      <x:c r="AG104" s="79"/>
      <x:c r="AH104" s="79"/>
      <x:c r="AI104" s="79"/>
      <x:c r="AJ104" s="79"/>
      <x:c r="AK104" s="79"/>
      <x:c r="AL104" s="79"/>
      <x:c r="AM104" s="49"/>
      <x:c r="AN104" s="49"/>
      <x:c r="AO104" s="49"/>
      <x:c r="AP104" s="49"/>
      <x:c r="AQ104" s="49"/>
      <x:c r="AR104" s="51"/>
    </x:row>
    <x:row r="105" spans="1:44" s="52" customFormat="1" hidden="1" outlineLevel="2">
      <x:c r="A105" s="47" t="s">
        <x:v>166</x:v>
      </x:c>
      <x:c r="B105" s="21"/>
      <x:c r="C105" s="22"/>
      <x:c r="D105" s="94" t="s">
        <x:v>129</x:v>
      </x:c>
      <x:c r="E105" s="95"/>
      <x:c r="F105" s="95"/>
      <x:c r="G105" s="95"/>
      <x:c r="H105" s="95"/>
      <x:c r="I105" s="95"/>
      <x:c r="J105" s="95"/>
      <x:c r="K105" s="96"/>
      <x:c r="L105" s="23"/>
      <x:c r="M105" s="14" t="s">
        <x:v>20</x:v>
      </x:c>
      <x:c r="N105" s="14" t="s">
        <x:v>20</x:v>
      </x:c>
      <x:c r="O105" s="19" t="e">
        <x:f t="shared" si="5"/>
        <x:v>#VALUE!</x:v>
      </x:c>
      <x:c r="P105" s="79" t="s">
        <x:v>20</x:v>
      </x:c>
      <x:c r="Q105" s="20" t="e">
        <x:f>P105/O105</x:f>
        <x:v>#VALUE!</x:v>
      </x:c>
      <x:c r="R105" s="24"/>
      <x:c r="S105" s="24"/>
      <x:c r="T105" s="16"/>
      <x:c r="U105" s="57">
        <x:v>0</x:v>
      </x:c>
      <x:c r="V105" s="57"/>
      <x:c r="W105" s="79"/>
      <x:c r="X105" s="79"/>
      <x:c r="Y105" s="79"/>
      <x:c r="Z105" s="79"/>
      <x:c r="AA105" s="79"/>
      <x:c r="AB105" s="79"/>
      <x:c r="AC105" s="79"/>
      <x:c r="AD105" s="79"/>
      <x:c r="AE105" s="79"/>
      <x:c r="AF105" s="79"/>
      <x:c r="AG105" s="79"/>
      <x:c r="AH105" s="79"/>
      <x:c r="AI105" s="79"/>
      <x:c r="AJ105" s="79"/>
      <x:c r="AK105" s="79"/>
      <x:c r="AL105" s="79"/>
      <x:c r="AM105" s="49"/>
      <x:c r="AN105" s="49"/>
      <x:c r="AO105" s="49"/>
      <x:c r="AP105" s="49"/>
      <x:c r="AQ105" s="49"/>
      <x:c r="AR105" s="51"/>
    </x:row>
    <x:row r="106" spans="1:44" s="52" customFormat="1" hidden="1" outlineLevel="2">
      <x:c r="A106" s="47" t="s">
        <x:v>224</x:v>
      </x:c>
      <x:c r="B106" s="21"/>
      <x:c r="C106" s="22"/>
      <x:c r="D106" s="94" t="s">
        <x:v>4</x:v>
      </x:c>
      <x:c r="E106" s="95"/>
      <x:c r="F106" s="95"/>
      <x:c r="G106" s="95"/>
      <x:c r="H106" s="95"/>
      <x:c r="I106" s="95"/>
      <x:c r="J106" s="95"/>
      <x:c r="K106" s="96"/>
      <x:c r="L106" s="23"/>
      <x:c r="M106" s="14" t="s">
        <x:v>20</x:v>
      </x:c>
      <x:c r="N106" s="14" t="s">
        <x:v>20</x:v>
      </x:c>
      <x:c r="O106" s="19" t="e">
        <x:f t="shared" si="5"/>
        <x:v>#VALUE!</x:v>
      </x:c>
      <x:c r="P106" s="79" t="s">
        <x:v>20</x:v>
      </x:c>
      <x:c r="Q106" s="20" t="e">
        <x:f>P106/O106</x:f>
        <x:v>#VALUE!</x:v>
      </x:c>
      <x:c r="R106" s="24"/>
      <x:c r="S106" s="24"/>
      <x:c r="T106" s="16"/>
      <x:c r="U106" s="57">
        <x:v>0</x:v>
      </x:c>
      <x:c r="V106" s="57"/>
      <x:c r="W106" s="79"/>
      <x:c r="X106" s="79"/>
      <x:c r="Y106" s="79"/>
      <x:c r="Z106" s="79"/>
      <x:c r="AA106" s="79"/>
      <x:c r="AB106" s="79"/>
      <x:c r="AC106" s="79"/>
      <x:c r="AD106" s="79"/>
      <x:c r="AE106" s="79"/>
      <x:c r="AF106" s="79"/>
      <x:c r="AG106" s="79"/>
      <x:c r="AH106" s="79"/>
      <x:c r="AI106" s="79"/>
      <x:c r="AJ106" s="79"/>
      <x:c r="AK106" s="79"/>
      <x:c r="AL106" s="79"/>
      <x:c r="AM106" s="49"/>
      <x:c r="AN106" s="49"/>
      <x:c r="AO106" s="49"/>
      <x:c r="AP106" s="49"/>
      <x:c r="AQ106" s="49"/>
      <x:c r="AR106" s="51"/>
    </x:row>
    <x:row r="107" spans="1:44" s="52" customFormat="1" hidden="1" outlineLevel="2">
      <x:c r="A107" s="47" t="s">
        <x:v>186</x:v>
      </x:c>
      <x:c r="B107" s="21"/>
      <x:c r="C107" s="22"/>
      <x:c r="D107" s="94" t="s">
        <x:v>6</x:v>
      </x:c>
      <x:c r="E107" s="95"/>
      <x:c r="F107" s="95"/>
      <x:c r="G107" s="95"/>
      <x:c r="H107" s="95"/>
      <x:c r="I107" s="95"/>
      <x:c r="J107" s="95"/>
      <x:c r="K107" s="96"/>
      <x:c r="L107" s="23"/>
      <x:c r="M107" s="14" t="s">
        <x:v>20</x:v>
      </x:c>
      <x:c r="N107" s="14" t="s">
        <x:v>20</x:v>
      </x:c>
      <x:c r="O107" s="19" t="e">
        <x:f t="shared" si="5"/>
        <x:v>#VALUE!</x:v>
      </x:c>
      <x:c r="P107" s="79" t="s">
        <x:v>20</x:v>
      </x:c>
      <x:c r="Q107" s="20" t="e">
        <x:f>P107/O107</x:f>
        <x:v>#VALUE!</x:v>
      </x:c>
      <x:c r="R107" s="24"/>
      <x:c r="S107" s="24"/>
      <x:c r="T107" s="16"/>
      <x:c r="U107" s="57">
        <x:v>0</x:v>
      </x:c>
      <x:c r="V107" s="57"/>
      <x:c r="W107" s="79"/>
      <x:c r="X107" s="79"/>
      <x:c r="Y107" s="79"/>
      <x:c r="Z107" s="79"/>
      <x:c r="AA107" s="79"/>
      <x:c r="AB107" s="79"/>
      <x:c r="AC107" s="79"/>
      <x:c r="AD107" s="79"/>
      <x:c r="AE107" s="79"/>
      <x:c r="AF107" s="79"/>
      <x:c r="AG107" s="79"/>
      <x:c r="AH107" s="79"/>
      <x:c r="AI107" s="79"/>
      <x:c r="AJ107" s="79"/>
      <x:c r="AK107" s="79"/>
      <x:c r="AL107" s="79"/>
      <x:c r="AM107" s="49"/>
      <x:c r="AN107" s="49"/>
      <x:c r="AO107" s="49"/>
      <x:c r="AP107" s="49"/>
      <x:c r="AQ107" s="49"/>
      <x:c r="AR107" s="51"/>
    </x:row>
    <x:row r="108" spans="1:44" s="52" customFormat="1" hidden="1" outlineLevel="2">
      <x:c r="A108" s="47" t="s">
        <x:v>156</x:v>
      </x:c>
      <x:c r="B108" s="21"/>
      <x:c r="C108" s="22"/>
      <x:c r="D108" s="94" t="s">
        <x:v>127</x:v>
      </x:c>
      <x:c r="E108" s="95"/>
      <x:c r="F108" s="95"/>
      <x:c r="G108" s="95"/>
      <x:c r="H108" s="95"/>
      <x:c r="I108" s="95"/>
      <x:c r="J108" s="95"/>
      <x:c r="K108" s="96"/>
      <x:c r="L108" s="23"/>
      <x:c r="M108" s="14" t="s">
        <x:v>20</x:v>
      </x:c>
      <x:c r="N108" s="14" t="s">
        <x:v>20</x:v>
      </x:c>
      <x:c r="O108" s="19" t="e">
        <x:f>N108-M108</x:f>
        <x:v>#VALUE!</x:v>
      </x:c>
      <x:c r="P108" s="79" t="s">
        <x:v>20</x:v>
      </x:c>
      <x:c r="Q108" s="20" t="e">
        <x:f>P108/O108</x:f>
        <x:v>#VALUE!</x:v>
      </x:c>
      <x:c r="R108" s="24"/>
      <x:c r="S108" s="24"/>
      <x:c r="T108" s="16"/>
      <x:c r="U108" s="57">
        <x:v>0</x:v>
      </x:c>
      <x:c r="V108" s="57"/>
      <x:c r="W108" s="79"/>
      <x:c r="X108" s="79"/>
      <x:c r="Y108" s="79"/>
      <x:c r="Z108" s="79"/>
      <x:c r="AA108" s="79"/>
      <x:c r="AB108" s="79"/>
      <x:c r="AC108" s="79"/>
      <x:c r="AD108" s="79"/>
      <x:c r="AE108" s="79"/>
      <x:c r="AF108" s="79"/>
      <x:c r="AG108" s="79"/>
      <x:c r="AH108" s="79"/>
      <x:c r="AI108" s="79"/>
      <x:c r="AJ108" s="79"/>
      <x:c r="AK108" s="79"/>
      <x:c r="AL108" s="79"/>
      <x:c r="AM108" s="49"/>
      <x:c r="AN108" s="49"/>
      <x:c r="AO108" s="49"/>
      <x:c r="AP108" s="49"/>
      <x:c r="AQ108" s="49"/>
      <x:c r="AR108" s="51"/>
    </x:row>
    <x:row r="109" spans="1:44" s="52" customFormat="1" hidden="1" outlineLevel="1">
      <x:c r="A109" s="47" t="s">
        <x:v>25</x:v>
      </x:c>
      <x:c r="B109" s="17"/>
      <x:c r="C109" s="97" t="s">
        <x:v>134</x:v>
      </x:c>
      <x:c r="D109" s="98"/>
      <x:c r="E109" s="98"/>
      <x:c r="F109" s="98"/>
      <x:c r="G109" s="98"/>
      <x:c r="H109" s="98"/>
      <x:c r="I109" s="98"/>
      <x:c r="J109" s="98"/>
      <x:c r="K109" s="99"/>
      <x:c r="L109" s="18"/>
      <x:c r="M109" s="14" t="s">
        <x:v>20</x:v>
      </x:c>
      <x:c r="N109" s="14" t="s">
        <x:v>20</x:v>
      </x:c>
      <x:c r="O109" s="19" t="e">
        <x:f t="shared" si="5"/>
        <x:v>#VALUE!</x:v>
      </x:c>
      <x:c r="P109" s="79" t="s">
        <x:v>20</x:v>
      </x:c>
      <x:c r="Q109" s="20" t="e">
        <x:f>P109/O109</x:f>
        <x:v>#VALUE!</x:v>
      </x:c>
      <x:c r="R109" s="19"/>
      <x:c r="S109" s="19"/>
      <x:c r="T109" s="16"/>
      <x:c r="U109" s="57">
        <x:v>0</x:v>
      </x:c>
      <x:c r="V109" s="57"/>
      <x:c r="W109" s="79"/>
      <x:c r="X109" s="79"/>
      <x:c r="Y109" s="79"/>
      <x:c r="Z109" s="79"/>
      <x:c r="AA109" s="79"/>
      <x:c r="AB109" s="79"/>
      <x:c r="AC109" s="79"/>
      <x:c r="AD109" s="79"/>
      <x:c r="AE109" s="79"/>
      <x:c r="AF109" s="79"/>
      <x:c r="AG109" s="79"/>
      <x:c r="AH109" s="79"/>
      <x:c r="AI109" s="79"/>
      <x:c r="AJ109" s="79"/>
      <x:c r="AK109" s="79"/>
      <x:c r="AL109" s="79"/>
      <x:c r="AM109" s="49"/>
      <x:c r="AN109" s="49"/>
      <x:c r="AO109" s="49"/>
      <x:c r="AP109" s="49"/>
      <x:c r="AQ109" s="49"/>
      <x:c r="AR109" s="51"/>
    </x:row>
    <x:row r="110" spans="1:44" s="52" customFormat="1" hidden="1" outlineLevel="1">
      <x:c r="A110" s="47" t="s">
        <x:v>218</x:v>
      </x:c>
      <x:c r="B110" s="21"/>
      <x:c r="C110" s="22"/>
      <x:c r="D110" s="94" t="s">
        <x:v>78</x:v>
      </x:c>
      <x:c r="E110" s="95"/>
      <x:c r="F110" s="95"/>
      <x:c r="G110" s="95"/>
      <x:c r="H110" s="95"/>
      <x:c r="I110" s="95"/>
      <x:c r="J110" s="95"/>
      <x:c r="K110" s="96"/>
      <x:c r="L110" s="23"/>
      <x:c r="M110" s="14" t="s">
        <x:v>20</x:v>
      </x:c>
      <x:c r="N110" s="14" t="s">
        <x:v>20</x:v>
      </x:c>
      <x:c r="O110" s="19" t="e">
        <x:f>N110-M110</x:f>
        <x:v>#VALUE!</x:v>
      </x:c>
      <x:c r="P110" s="79" t="s">
        <x:v>20</x:v>
      </x:c>
      <x:c r="Q110" s="20" t="e">
        <x:f>P110/O110</x:f>
        <x:v>#VALUE!</x:v>
      </x:c>
      <x:c r="R110" s="24"/>
      <x:c r="S110" s="24"/>
      <x:c r="T110" s="16"/>
      <x:c r="U110" s="57">
        <x:v>0</x:v>
      </x:c>
      <x:c r="V110" s="57"/>
      <x:c r="W110" s="79"/>
      <x:c r="X110" s="79"/>
      <x:c r="Y110" s="79"/>
      <x:c r="Z110" s="79"/>
      <x:c r="AA110" s="79"/>
      <x:c r="AB110" s="79"/>
      <x:c r="AC110" s="79"/>
      <x:c r="AD110" s="79"/>
      <x:c r="AE110" s="79"/>
      <x:c r="AF110" s="79"/>
      <x:c r="AG110" s="79"/>
      <x:c r="AH110" s="79"/>
      <x:c r="AI110" s="79"/>
      <x:c r="AJ110" s="79"/>
      <x:c r="AK110" s="79"/>
      <x:c r="AL110" s="79"/>
      <x:c r="AM110" s="49"/>
      <x:c r="AN110" s="49"/>
      <x:c r="AO110" s="49"/>
      <x:c r="AP110" s="49"/>
      <x:c r="AQ110" s="49"/>
      <x:c r="AR110" s="51"/>
    </x:row>
    <x:row r="111" spans="1:44" s="52" customFormat="1" hidden="1" outlineLevel="2">
      <x:c r="A111" s="47" t="s">
        <x:v>209</x:v>
      </x:c>
      <x:c r="B111" s="21"/>
      <x:c r="C111" s="22"/>
      <x:c r="D111" s="94" t="s">
        <x:v>126</x:v>
      </x:c>
      <x:c r="E111" s="95"/>
      <x:c r="F111" s="95"/>
      <x:c r="G111" s="95"/>
      <x:c r="H111" s="95"/>
      <x:c r="I111" s="95"/>
      <x:c r="J111" s="95"/>
      <x:c r="K111" s="96"/>
      <x:c r="L111" s="23"/>
      <x:c r="M111" s="14" t="s">
        <x:v>20</x:v>
      </x:c>
      <x:c r="N111" s="14" t="s">
        <x:v>20</x:v>
      </x:c>
      <x:c r="O111" s="19" t="e">
        <x:f>N111-M111</x:f>
        <x:v>#VALUE!</x:v>
      </x:c>
      <x:c r="P111" s="79" t="s">
        <x:v>20</x:v>
      </x:c>
      <x:c r="Q111" s="20" t="e">
        <x:f>P111/O111</x:f>
        <x:v>#VALUE!</x:v>
      </x:c>
      <x:c r="R111" s="28"/>
      <x:c r="S111" s="28"/>
      <x:c r="T111" s="16"/>
      <x:c r="U111" s="57">
        <x:v>0</x:v>
      </x:c>
      <x:c r="V111" s="57"/>
      <x:c r="W111" s="79"/>
      <x:c r="X111" s="79"/>
      <x:c r="Y111" s="79"/>
      <x:c r="Z111" s="79"/>
      <x:c r="AA111" s="79"/>
      <x:c r="AB111" s="79"/>
      <x:c r="AC111" s="79"/>
      <x:c r="AD111" s="79"/>
      <x:c r="AE111" s="79"/>
      <x:c r="AF111" s="79"/>
      <x:c r="AG111" s="79"/>
      <x:c r="AH111" s="79"/>
      <x:c r="AI111" s="79"/>
      <x:c r="AJ111" s="79"/>
      <x:c r="AK111" s="79"/>
      <x:c r="AL111" s="79"/>
      <x:c r="AM111" s="49"/>
      <x:c r="AN111" s="49"/>
      <x:c r="AO111" s="49"/>
      <x:c r="AP111" s="49"/>
      <x:c r="AQ111" s="49"/>
      <x:c r="AR111" s="51"/>
    </x:row>
    <x:row r="112" spans="1:44" s="52" customFormat="1" hidden="1" outlineLevel="2">
      <x:c r="A112" s="47" t="s">
        <x:v>196</x:v>
      </x:c>
      <x:c r="B112" s="21"/>
      <x:c r="C112" s="22"/>
      <x:c r="D112" s="137" t="s">
        <x:v>124</x:v>
      </x:c>
      <x:c r="E112" s="138"/>
      <x:c r="F112" s="138"/>
      <x:c r="G112" s="138"/>
      <x:c r="H112" s="138"/>
      <x:c r="I112" s="138"/>
      <x:c r="J112" s="138"/>
      <x:c r="K112" s="139"/>
      <x:c r="L112" s="23"/>
      <x:c r="M112" s="14" t="s">
        <x:v>20</x:v>
      </x:c>
      <x:c r="N112" s="14" t="s">
        <x:v>20</x:v>
      </x:c>
      <x:c r="O112" s="19" t="e">
        <x:f>N112-M112</x:f>
        <x:v>#VALUE!</x:v>
      </x:c>
      <x:c r="P112" s="79" t="s">
        <x:v>20</x:v>
      </x:c>
      <x:c r="Q112" s="20" t="e">
        <x:f>P112/O112</x:f>
        <x:v>#VALUE!</x:v>
      </x:c>
      <x:c r="R112" s="28"/>
      <x:c r="S112" s="28"/>
      <x:c r="T112" s="16"/>
      <x:c r="U112" s="57">
        <x:v>0</x:v>
      </x:c>
      <x:c r="V112" s="57"/>
      <x:c r="W112" s="79"/>
      <x:c r="X112" s="79"/>
      <x:c r="Y112" s="79"/>
      <x:c r="Z112" s="79"/>
      <x:c r="AA112" s="79"/>
      <x:c r="AB112" s="79"/>
      <x:c r="AC112" s="79"/>
      <x:c r="AD112" s="79"/>
      <x:c r="AE112" s="79"/>
      <x:c r="AF112" s="79"/>
      <x:c r="AG112" s="79"/>
      <x:c r="AH112" s="79"/>
      <x:c r="AI112" s="79"/>
      <x:c r="AJ112" s="79"/>
      <x:c r="AK112" s="79"/>
      <x:c r="AL112" s="79"/>
      <x:c r="AM112" s="49"/>
      <x:c r="AN112" s="49"/>
      <x:c r="AO112" s="49"/>
      <x:c r="AP112" s="49"/>
      <x:c r="AQ112" s="49"/>
      <x:c r="AR112" s="51"/>
    </x:row>
    <x:row r="113" spans="1:44" s="52" customFormat="1" hidden="1" outlineLevel="2">
      <x:c r="A113" s="47" t="s">
        <x:v>151</x:v>
      </x:c>
      <x:c r="B113" s="21"/>
      <x:c r="C113" s="22"/>
      <x:c r="D113" s="94" t="s">
        <x:v>255</x:v>
      </x:c>
      <x:c r="E113" s="95"/>
      <x:c r="F113" s="95"/>
      <x:c r="G113" s="95"/>
      <x:c r="H113" s="95"/>
      <x:c r="I113" s="95"/>
      <x:c r="J113" s="95"/>
      <x:c r="K113" s="96"/>
      <x:c r="L113" s="23"/>
      <x:c r="M113" s="14" t="s">
        <x:v>20</x:v>
      </x:c>
      <x:c r="N113" s="14" t="s">
        <x:v>20</x:v>
      </x:c>
      <x:c r="O113" s="19" t="e">
        <x:f>N113-M113</x:f>
        <x:v>#VALUE!</x:v>
      </x:c>
      <x:c r="P113" s="79" t="s">
        <x:v>20</x:v>
      </x:c>
      <x:c r="Q113" s="20" t="e">
        <x:f>P113/O113</x:f>
        <x:v>#VALUE!</x:v>
      </x:c>
      <x:c r="R113" s="28"/>
      <x:c r="S113" s="28"/>
      <x:c r="T113" s="16"/>
      <x:c r="U113" s="57">
        <x:v>0</x:v>
      </x:c>
      <x:c r="V113" s="57"/>
      <x:c r="W113" s="79"/>
      <x:c r="X113" s="79"/>
      <x:c r="Y113" s="79"/>
      <x:c r="Z113" s="79"/>
      <x:c r="AA113" s="79"/>
      <x:c r="AB113" s="79"/>
      <x:c r="AC113" s="79"/>
      <x:c r="AD113" s="79"/>
      <x:c r="AE113" s="79"/>
      <x:c r="AF113" s="79"/>
      <x:c r="AG113" s="79"/>
      <x:c r="AH113" s="79"/>
      <x:c r="AI113" s="79"/>
      <x:c r="AJ113" s="79"/>
      <x:c r="AK113" s="79"/>
      <x:c r="AL113" s="79"/>
      <x:c r="AM113" s="49"/>
      <x:c r="AN113" s="49"/>
      <x:c r="AO113" s="49"/>
      <x:c r="AP113" s="49"/>
      <x:c r="AQ113" s="49"/>
      <x:c r="AR113" s="51"/>
    </x:row>
    <x:row r="114" spans="1:44" s="52" customFormat="1" hidden="1" outlineLevel="2">
      <x:c r="A114" s="47" t="s">
        <x:v>161</x:v>
      </x:c>
      <x:c r="B114" s="21"/>
      <x:c r="C114" s="22"/>
      <x:c r="D114" s="94" t="s">
        <x:v>7</x:v>
      </x:c>
      <x:c r="E114" s="95"/>
      <x:c r="F114" s="95"/>
      <x:c r="G114" s="95"/>
      <x:c r="H114" s="95"/>
      <x:c r="I114" s="95"/>
      <x:c r="J114" s="95"/>
      <x:c r="K114" s="96"/>
      <x:c r="L114" s="23"/>
      <x:c r="M114" s="14" t="s">
        <x:v>20</x:v>
      </x:c>
      <x:c r="N114" s="14" t="s">
        <x:v>20</x:v>
      </x:c>
      <x:c r="O114" s="19" t="e">
        <x:f t="shared" si="5"/>
        <x:v>#VALUE!</x:v>
      </x:c>
      <x:c r="P114" s="79" t="s">
        <x:v>20</x:v>
      </x:c>
      <x:c r="Q114" s="20" t="e">
        <x:f>P114/O114</x:f>
        <x:v>#VALUE!</x:v>
      </x:c>
      <x:c r="R114" s="28"/>
      <x:c r="S114" s="28"/>
      <x:c r="T114" s="16"/>
      <x:c r="U114" s="57">
        <x:v>0</x:v>
      </x:c>
      <x:c r="V114" s="57"/>
      <x:c r="W114" s="79"/>
      <x:c r="X114" s="79"/>
      <x:c r="Y114" s="79"/>
      <x:c r="Z114" s="79"/>
      <x:c r="AA114" s="79"/>
      <x:c r="AB114" s="79"/>
      <x:c r="AC114" s="79"/>
      <x:c r="AD114" s="79"/>
      <x:c r="AE114" s="79"/>
      <x:c r="AF114" s="79"/>
      <x:c r="AG114" s="79"/>
      <x:c r="AH114" s="79"/>
      <x:c r="AI114" s="79"/>
      <x:c r="AJ114" s="79"/>
      <x:c r="AK114" s="79"/>
      <x:c r="AL114" s="79"/>
      <x:c r="AM114" s="49"/>
      <x:c r="AN114" s="49"/>
      <x:c r="AO114" s="49"/>
      <x:c r="AP114" s="49"/>
      <x:c r="AQ114" s="49"/>
      <x:c r="AR114" s="51"/>
    </x:row>
    <x:row r="115" spans="1:44" s="52" customFormat="1" outlineLevel="2">
      <x:c r="A115" s="48"/>
      <x:c r="B115" s="25"/>
      <x:c r="C115" s="26"/>
      <x:c r="D115" s="140"/>
      <x:c r="E115" s="141"/>
      <x:c r="F115" s="141"/>
      <x:c r="G115" s="141"/>
      <x:c r="H115" s="141"/>
      <x:c r="I115" s="141"/>
      <x:c r="J115" s="141"/>
      <x:c r="K115" s="142"/>
      <x:c r="L115" s="27"/>
      <x:c r="M115" s="72"/>
      <x:c r="N115" s="72"/>
      <x:c r="O115" s="73"/>
      <x:c r="P115" s="72"/>
      <x:c r="Q115" s="74"/>
      <x:c r="R115" s="75"/>
      <x:c r="S115" s="75"/>
      <x:c r="T115" s="76"/>
      <x:c r="U115" s="75"/>
      <x:c r="V115" s="75"/>
      <x:c r="W115" s="49"/>
      <x:c r="X115" s="49"/>
      <x:c r="Y115" s="49"/>
      <x:c r="Z115" s="49"/>
      <x:c r="AA115" s="49"/>
      <x:c r="AB115" s="49"/>
      <x:c r="AC115" s="49"/>
      <x:c r="AD115" s="49"/>
      <x:c r="AE115" s="49"/>
      <x:c r="AF115" s="49"/>
      <x:c r="AG115" s="49"/>
      <x:c r="AH115" s="37"/>
      <x:c r="AI115" s="37"/>
      <x:c r="AJ115" s="37"/>
      <x:c r="AK115" s="37"/>
      <x:c r="AL115" s="37"/>
      <x:c r="AM115" s="49"/>
      <x:c r="AN115" s="49"/>
      <x:c r="AO115" s="49"/>
      <x:c r="AP115" s="49"/>
      <x:c r="AQ115" s="49"/>
      <x:c r="AR115" s="51"/>
    </x:row>
    <x:row r="116" spans="1:44" s="52" customFormat="1" outlineLevel="2">
      <x:c r="A116" s="47"/>
      <x:c r="B116" s="21"/>
      <x:c r="C116" s="22"/>
      <x:c r="D116" s="94"/>
      <x:c r="E116" s="95"/>
      <x:c r="F116" s="95"/>
      <x:c r="G116" s="95"/>
      <x:c r="H116" s="95"/>
      <x:c r="I116" s="95"/>
      <x:c r="J116" s="95"/>
      <x:c r="K116" s="96"/>
      <x:c r="L116" s="71"/>
      <x:c r="M116" s="72"/>
      <x:c r="N116" s="72"/>
      <x:c r="O116" s="73"/>
      <x:c r="P116" s="72"/>
      <x:c r="Q116" s="74"/>
      <x:c r="R116" s="75"/>
      <x:c r="S116" s="75"/>
      <x:c r="T116" s="76"/>
      <x:c r="U116" s="75"/>
      <x:c r="V116" s="75"/>
      <x:c r="W116" s="49"/>
      <x:c r="X116" s="49"/>
      <x:c r="Y116" s="49"/>
      <x:c r="Z116" s="49"/>
      <x:c r="AA116" s="49"/>
      <x:c r="AB116" s="49"/>
      <x:c r="AC116" s="49"/>
      <x:c r="AD116" s="49"/>
      <x:c r="AE116" s="49"/>
      <x:c r="AF116" s="49"/>
      <x:c r="AG116" s="49"/>
      <x:c r="AH116" s="37"/>
      <x:c r="AI116" s="37"/>
      <x:c r="AJ116" s="37"/>
      <x:c r="AK116" s="37"/>
      <x:c r="AL116" s="37"/>
      <x:c r="AM116" s="49"/>
      <x:c r="AN116" s="49"/>
      <x:c r="AO116" s="49"/>
      <x:c r="AP116" s="49"/>
      <x:c r="AQ116" s="49"/>
      <x:c r="AR116" s="51"/>
    </x:row>
    <x:row r="117" spans="1:38">
      <x:c r="A117" s="47"/>
      <x:c r="B117" s="21"/>
      <x:c r="C117" s="22"/>
      <x:c r="D117" s="94"/>
      <x:c r="E117" s="95"/>
      <x:c r="F117" s="95"/>
      <x:c r="G117" s="95"/>
      <x:c r="H117" s="95"/>
      <x:c r="I117" s="95"/>
      <x:c r="J117" s="95"/>
      <x:c r="K117" s="96"/>
      <x:c r="L117" s="29"/>
      <x:c r="M117" s="30"/>
      <x:c r="N117" s="30"/>
      <x:c r="O117" s="31"/>
      <x:c r="P117" s="31"/>
      <x:c r="Q117" s="32"/>
      <x:c r="R117" s="33"/>
      <x:c r="S117" s="33"/>
      <x:c r="T117" s="58"/>
      <x:c r="U117" s="34"/>
      <x:c r="V117" s="91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</x:row>
    <x:row r="118" spans="1:38">
      <x:c r="A118" s="3" t="s">
        <x:v>38</x:v>
      </x:c>
      <x:c r="U118" s="35"/>
      <x:c r="V118" s="91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</x:row>
    <x:row r="119" spans="1:38">
      <x:c r="A119" s="3" t="s">
        <x:v>38</x:v>
      </x:c>
      <x:c r="U119" s="35"/>
      <x:c r="V119" s="91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</x:row>
    <x:row r="120" spans="1:38">
      <x:c r="A120" s="3" t="s">
        <x:v>38</x:v>
      </x:c>
      <x:c r="U120" s="35"/>
      <x:c r="V120" s="91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</x:row>
    <x:row r="121" spans="1:38">
      <x:c r="A121" s="3" t="s">
        <x:v>38</x:v>
      </x:c>
      <x:c r="U121" s="35"/>
      <x:c r="V121" s="9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</x:row>
    <x:row r="122" spans="1:38">
      <x:c r="A122" s="3" t="s">
        <x:v>38</x:v>
      </x:c>
      <x:c r="U122" s="35"/>
      <x:c r="V122" s="91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</x:row>
    <x:row r="123" spans="1:38">
      <x:c r="A123" s="3" t="s">
        <x:v>38</x:v>
      </x:c>
      <x:c r="U123" s="35"/>
      <x:c r="V123" s="91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</x:row>
    <x:row r="124" spans="21:38">
      <x:c r="U124" s="35"/>
      <x:c r="V124" s="91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</x:row>
  </x:sheetData>
  <x:mergeCells count="127">
    <x:mergeCell ref="D96:K96"/>
    <x:mergeCell ref="C109:K109"/>
    <x:mergeCell ref="D47:K47"/>
    <x:mergeCell ref="D48:K48"/>
    <x:mergeCell ref="B75:K75"/>
    <x:mergeCell ref="C76:K76"/>
    <x:mergeCell ref="D77:K77"/>
    <x:mergeCell ref="C73:K73"/>
    <x:mergeCell ref="D64:K64"/>
    <x:mergeCell ref="D51:K51"/>
    <x:mergeCell ref="D54:K54"/>
    <x:mergeCell ref="C88:K88"/>
    <x:mergeCell ref="C94:K94"/>
    <x:mergeCell ref="D95:K95"/>
    <x:mergeCell ref="B1:K1"/>
    <x:mergeCell ref="A2:U2"/>
    <x:mergeCell ref="B49:K49"/>
    <x:mergeCell ref="C8:K8"/>
    <x:mergeCell ref="D9:K9"/>
    <x:mergeCell ref="A4:A5"/>
    <x:mergeCell ref="B4:K5"/>
    <x:mergeCell ref="B26:K26"/>
    <x:mergeCell ref="C27:K27"/>
    <x:mergeCell ref="D41:K41"/>
    <x:mergeCell ref="C44:K44"/>
    <x:mergeCell ref="D45:K45"/>
    <x:mergeCell ref="B7:K7"/>
    <x:mergeCell ref="D28:K28"/>
    <x:mergeCell ref="D30:K30"/>
    <x:mergeCell ref="D21:K21"/>
    <x:mergeCell ref="D22:K22"/>
    <x:mergeCell ref="D23:K23"/>
    <x:mergeCell ref="C24:K24"/>
    <x:mergeCell ref="L4:L5"/>
    <x:mergeCell ref="M4:M5"/>
    <x:mergeCell ref="D25:K25"/>
    <x:mergeCell ref="N4:N5"/>
    <x:mergeCell ref="D18:K18"/>
    <x:mergeCell ref="D19:K19"/>
    <x:mergeCell ref="D86:K86"/>
    <x:mergeCell ref="D87:K87"/>
    <x:mergeCell ref="C84:K84"/>
    <x:mergeCell ref="D85:K85"/>
    <x:mergeCell ref="C17:K17"/>
    <x:mergeCell ref="D37:K37"/>
    <x:mergeCell ref="C31:K31"/>
    <x:mergeCell ref="D32:K32"/>
    <x:mergeCell ref="D33:K33"/>
    <x:mergeCell ref="D34:K34"/>
    <x:mergeCell ref="C36:K36"/>
    <x:mergeCell ref="D10:K10"/>
    <x:mergeCell ref="D12:K12"/>
    <x:mergeCell ref="D42:K42"/>
    <x:mergeCell ref="D46:K46"/>
    <x:mergeCell ref="D106:K106"/>
    <x:mergeCell ref="D107:K107"/>
    <x:mergeCell ref="A6:K6"/>
    <x:mergeCell ref="B103:K103"/>
    <x:mergeCell ref="C104:K104"/>
    <x:mergeCell ref="D105:K105"/>
    <x:mergeCell ref="D101:K101"/>
    <x:mergeCell ref="D102:K102"/>
    <x:mergeCell ref="D99:K99"/>
    <x:mergeCell ref="B97:K97"/>
    <x:mergeCell ref="C98:K98"/>
    <x:mergeCell ref="C100:K100"/>
    <x:mergeCell ref="D81:K81"/>
    <x:mergeCell ref="D29:K29"/>
    <x:mergeCell ref="D89:K89"/>
    <x:mergeCell ref="D83:K83"/>
    <x:mergeCell ref="D78:K78"/>
    <x:mergeCell ref="D79:K79"/>
    <x:mergeCell ref="C80:K80"/>
    <x:mergeCell ref="W3:AC3"/>
    <x:mergeCell ref="AD3:AJ3"/>
    <x:mergeCell ref="D57:K57"/>
    <x:mergeCell ref="D60:K60"/>
    <x:mergeCell ref="D108:K108"/>
    <x:mergeCell ref="D70:K70"/>
    <x:mergeCell ref="D35:K35"/>
    <x:mergeCell ref="D110:K110"/>
    <x:mergeCell ref="E52:K52"/>
    <x:mergeCell ref="E53:K53"/>
    <x:mergeCell ref="C50:K50"/>
    <x:mergeCell ref="D13:K13"/>
    <x:mergeCell ref="D14:K14"/>
    <x:mergeCell ref="D11:K11"/>
    <x:mergeCell ref="D15:K15"/>
    <x:mergeCell ref="D16:K16"/>
    <x:mergeCell ref="D20:K20"/>
    <x:mergeCell ref="D38:K38"/>
    <x:mergeCell ref="D39:K39"/>
    <x:mergeCell ref="D40:K40"/>
    <x:mergeCell ref="D43:K43"/>
    <x:mergeCell ref="E55:K55"/>
    <x:mergeCell ref="E56:K56"/>
    <x:mergeCell ref="E58:K58"/>
    <x:mergeCell ref="E59:K59"/>
    <x:mergeCell ref="E61:K61"/>
    <x:mergeCell ref="E62:K62"/>
    <x:mergeCell ref="E65:K65"/>
    <x:mergeCell ref="E66:K66"/>
    <x:mergeCell ref="E67:K67"/>
    <x:mergeCell ref="E68:K68"/>
    <x:mergeCell ref="E69:K69"/>
    <x:mergeCell ref="E71:K71"/>
    <x:mergeCell ref="E72:K72"/>
    <x:mergeCell ref="D74:K74"/>
    <x:mergeCell ref="D82:K82"/>
    <x:mergeCell ref="C90:K90"/>
    <x:mergeCell ref="D91:K91"/>
    <x:mergeCell ref="D92:K92"/>
    <x:mergeCell ref="D93:K93"/>
    <x:mergeCell ref="R4:S4"/>
    <x:mergeCell ref="T4:T5"/>
    <x:mergeCell ref="U4:U5"/>
    <x:mergeCell ref="O4:Q4"/>
    <x:mergeCell ref="V4:V5"/>
    <x:mergeCell ref="D116:K116"/>
    <x:mergeCell ref="D117:K117"/>
    <x:mergeCell ref="D112:K112"/>
    <x:mergeCell ref="D113:K113"/>
    <x:mergeCell ref="D114:K114"/>
    <x:mergeCell ref="D115:K115"/>
    <x:mergeCell ref="D111:K111"/>
    <x:mergeCell ref="AK3:AL3"/>
    <x:mergeCell ref="W2:AL2"/>
  </x:mergeCells>
  <x:conditionalFormatting sqref="U4:U5">
    <x:cfRule type="dataBar" priority="231">
      <x:dataBar minLength="0" maxLength="100">
        <x:cfvo type="percent" val="0"/>
        <x:cfvo type="percent" val="100"/>
        <x:color rgb="ff008aef"/>
      </x:dataBar>
      <x:extLst>
        <x:ext xmlns:x14="http://schemas.microsoft.com/office/spreadsheetml/2009/9/main" uri="{B025F937-C7B1-47D3-B67F-A62EFF666E3E}">
          <x14:id>{4FFAB0C4-4B52-475D-94F2-62D4D89D96C8}</x14:id>
        </x:ext>
      </x:extLst>
    </x:cfRule>
  </x:conditionalFormatting>
  <x:conditionalFormatting sqref="U4:U53 U73:U114 T115:T1048555 T1:T2">
    <x:cfRule type="dataBar" priority="2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{DAA858EC-70E2-4019-994F-BFF4899FF30F}</x14:id>
        </x:ext>
      </x:extLst>
    </x:cfRule>
  </x:conditionalFormatting>
  <x:conditionalFormatting sqref="U54:U54">
    <x:cfRule type="dataBar" priority="2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{C8C175B7-0E24-44AA-8976-A49456A2C501}</x14:id>
        </x:ext>
      </x:extLst>
    </x:cfRule>
  </x:conditionalFormatting>
  <x:conditionalFormatting sqref="U55:U55">
    <x:cfRule type="dataBar" priority="22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{F47719B1-6C1B-4083-8AF2-217632FACE5E}</x14:id>
        </x:ext>
      </x:extLst>
    </x:cfRule>
  </x:conditionalFormatting>
  <x:conditionalFormatting sqref="U56:U56">
    <x:cfRule type="dataBar" priority="2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{41FB7E49-71C4-4E79-8AC3-6BFBB1B05D2E}</x14:id>
        </x:ext>
      </x:extLst>
    </x:cfRule>
  </x:conditionalFormatting>
  <x:conditionalFormatting sqref="U57:U57">
    <x:cfRule type="dataBar" priority="20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{9430B054-C152-4ABB-BC2C-C7E801027FC7}</x14:id>
        </x:ext>
      </x:extLst>
    </x:cfRule>
  </x:conditionalFormatting>
  <x:conditionalFormatting sqref="U58:U58">
    <x:cfRule type="dataBar" priority="1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{657EBE8D-6EEF-419C-80C4-A176CA149592}</x14:id>
        </x:ext>
      </x:extLst>
    </x:cfRule>
  </x:conditionalFormatting>
  <x:conditionalFormatting sqref="U59:U59">
    <x:cfRule type="dataBar" priority="1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{64DA4262-2E7A-4BCD-A739-2A64BEDB252C}</x14:id>
        </x:ext>
      </x:extLst>
    </x:cfRule>
  </x:conditionalFormatting>
  <x:conditionalFormatting sqref="U60:U60">
    <x:cfRule type="dataBar" priority="1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{2447164A-F997-4564-B6EA-7658559E2A9D}</x14:id>
        </x:ext>
      </x:extLst>
    </x:cfRule>
  </x:conditionalFormatting>
  <x:conditionalFormatting sqref="U61:U61">
    <x:cfRule type="dataBar" priority="1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{AD09E220-26C5-4982-A52F-4EB87E3FB0E8}</x14:id>
        </x:ext>
      </x:extLst>
    </x:cfRule>
  </x:conditionalFormatting>
  <x:conditionalFormatting sqref="U62:U62">
    <x:cfRule type="dataBar" priority="1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{4DF9A719-B886-4131-9B82-3DAFD5290D30}</x14:id>
        </x:ext>
      </x:extLst>
    </x:cfRule>
  </x:conditionalFormatting>
  <x:conditionalFormatting sqref="U63:U63">
    <x:cfRule type="dataBar" priority="1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{39155998-1185-4C7E-BA7A-E591FD53FAE5}</x14:id>
        </x:ext>
      </x:extLst>
    </x:cfRule>
  </x:conditionalFormatting>
  <x:conditionalFormatting sqref="U64:U64">
    <x:cfRule type="dataBar" priority="1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{789B67C9-7828-4F44-845E-6CF3D8E5BF3E}</x14:id>
        </x:ext>
      </x:extLst>
    </x:cfRule>
  </x:conditionalFormatting>
  <x:conditionalFormatting sqref="U65:U65">
    <x:cfRule type="dataBar" priority="12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{188C7B8E-ECE8-4833-BE2A-658218B4F32C}</x14:id>
        </x:ext>
      </x:extLst>
    </x:cfRule>
  </x:conditionalFormatting>
  <x:conditionalFormatting sqref="U66:U66">
    <x:cfRule type="dataBar" priority="1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{74AAACDE-EA9F-44B2-A566-1F8EFB66F55E}</x14:id>
        </x:ext>
      </x:extLst>
    </x:cfRule>
  </x:conditionalFormatting>
  <x:conditionalFormatting sqref="U67:U67">
    <x:cfRule type="dataBar" priority="10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{5D2EC255-1302-4E08-8FFE-D2691E0F9C57}</x14:id>
        </x:ext>
      </x:extLst>
    </x:cfRule>
  </x:conditionalFormatting>
  <x:conditionalFormatting sqref="U68:U68">
    <x:cfRule type="dataBar" priority="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{EECE0DD6-46B5-4699-B689-DCEFE421EC7D}</x14:id>
        </x:ext>
      </x:extLst>
    </x:cfRule>
  </x:conditionalFormatting>
  <x:conditionalFormatting sqref="U69:U69">
    <x:cfRule type="dataBar" priority="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{C9B4E7F2-E4EA-4B9E-A455-B65E760F16FD}</x14:id>
        </x:ext>
      </x:extLst>
    </x:cfRule>
  </x:conditionalFormatting>
  <x:conditionalFormatting sqref="U70:U70">
    <x:cfRule type="dataBar" priority="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{CD3DD029-D868-471C-80F0-56A7C830BB16}</x14:id>
        </x:ext>
      </x:extLst>
    </x:cfRule>
  </x:conditionalFormatting>
  <x:conditionalFormatting sqref="U71:U71">
    <x:cfRule type="dataBar" priority="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{61893A53-C173-4BDE-A1C1-435712493955}</x14:id>
        </x:ext>
      </x:extLst>
    </x:cfRule>
  </x:conditionalFormatting>
  <x:conditionalFormatting sqref="U72:U72">
    <x:cfRule type="dataBar" priority="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{6C8875E3-F614-4A7B-995B-4E9362F96A61}</x14:id>
        </x:ext>
      </x:extLst>
    </x:cfRule>
  </x:conditionalFormatting>
  <x:conditionalFormatting sqref="Q4:Q1048555 Q1:Q2">
    <x:cfRule type="dataBar" priority="1">
      <x:dataBar minLength="0" maxLength="100">
        <x:cfvo type="min"/>
        <x:cfvo type="max"/>
        <x:color rgb="ff63c384"/>
      </x:dataBar>
      <x:extLst>
        <x:ext xmlns:x14="http://schemas.microsoft.com/office/spreadsheetml/2009/9/main" uri="{B025F937-C7B1-47D3-B67F-A62EFF666E3E}">
          <x14:id>{DEE7438E-9638-48D3-B5ED-E204011861E9}</x14:id>
        </x:ext>
      </x:extLst>
    </x:cfRule>
  </x:conditionalFormatting>
  <x:pageMargins left="0.7086111307144165" right="0.7086111307144165" top="0.74750000238418579" bottom="0.74750000238418579" header="0.31486111879348755" footer="0.31486111879348755"/>
  <x:pageSetup paperSize="182" scale="24" firstPageNumber="1" fitToWidth="1" fitToHeight="1" orientation="landscape" usePrinterDefaults="1" blackAndWhite="0" draft="0" useFirstPageNumber="0" horizontalDpi="600" verticalDpi="600" copies="1"/>
  <x:rowBreaks count="3" manualBreakCount="3">
    <x:brk id="1" min="0" max="1048575" man="1" pt="0"/>
    <x:brk id="115" min="0" max="1048575" man="1" pt="0"/>
    <x:brk id="117" min="0" max="1048575" man="1" pt="0"/>
  </x:rowBreaks>
  <x:colBreaks count="1" manualBreakCount="1">
    <x:brk id="60" min="0" max="16383" man="1" pt="0"/>
  </x:colBreaks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FAB0C4-4B52-475D-94F2-62D4D89D96C8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m:sqref>U4:U5</xm:sqref>
        </x14:conditionalFormatting>
        <x14:conditionalFormatting xmlns:xm="http://schemas.microsoft.com/office/excel/2006/main">
          <x14:cfRule type="dataBar" id="{DAA858EC-70E2-4019-994F-BFF4899FF3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U4:U53 U73:U114 T115:T1048555 T1:T2</xm:sqref>
        </x14:conditionalFormatting>
        <x14:conditionalFormatting xmlns:xm="http://schemas.microsoft.com/office/excel/2006/main">
          <x14:cfRule type="dataBar" id="{C8C175B7-0E24-44AA-8976-A49456A2C5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U54:U54</xm:sqref>
        </x14:conditionalFormatting>
        <x14:conditionalFormatting xmlns:xm="http://schemas.microsoft.com/office/excel/2006/main">
          <x14:cfRule type="dataBar" id="{F47719B1-6C1B-4083-8AF2-217632FACE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U55:U55</xm:sqref>
        </x14:conditionalFormatting>
        <x14:conditionalFormatting xmlns:xm="http://schemas.microsoft.com/office/excel/2006/main">
          <x14:cfRule type="dataBar" id="{41FB7E49-71C4-4E79-8AC3-6BFBB1B05D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U56:U56</xm:sqref>
        </x14:conditionalFormatting>
        <x14:conditionalFormatting xmlns:xm="http://schemas.microsoft.com/office/excel/2006/main">
          <x14:cfRule type="dataBar" id="{9430B054-C152-4ABB-BC2C-C7E801027F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U57:U57</xm:sqref>
        </x14:conditionalFormatting>
        <x14:conditionalFormatting xmlns:xm="http://schemas.microsoft.com/office/excel/2006/main">
          <x14:cfRule type="dataBar" id="{657EBE8D-6EEF-419C-80C4-A176CA149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U58:U58</xm:sqref>
        </x14:conditionalFormatting>
        <x14:conditionalFormatting xmlns:xm="http://schemas.microsoft.com/office/excel/2006/main">
          <x14:cfRule type="dataBar" id="{64DA4262-2E7A-4BCD-A739-2A64BEDB25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U59:U59</xm:sqref>
        </x14:conditionalFormatting>
        <x14:conditionalFormatting xmlns:xm="http://schemas.microsoft.com/office/excel/2006/main">
          <x14:cfRule type="dataBar" id="{2447164A-F997-4564-B6EA-7658559E2A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U60:U60</xm:sqref>
        </x14:conditionalFormatting>
        <x14:conditionalFormatting xmlns:xm="http://schemas.microsoft.com/office/excel/2006/main">
          <x14:cfRule type="dataBar" id="{AD09E220-26C5-4982-A52F-4EB87E3FB0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U61:U61</xm:sqref>
        </x14:conditionalFormatting>
        <x14:conditionalFormatting xmlns:xm="http://schemas.microsoft.com/office/excel/2006/main">
          <x14:cfRule type="dataBar" id="{4DF9A719-B886-4131-9B82-3DAFD5290D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U62:U62</xm:sqref>
        </x14:conditionalFormatting>
        <x14:conditionalFormatting xmlns:xm="http://schemas.microsoft.com/office/excel/2006/main">
          <x14:cfRule type="dataBar" id="{39155998-1185-4C7E-BA7A-E591FD53FA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U63:U63</xm:sqref>
        </x14:conditionalFormatting>
        <x14:conditionalFormatting xmlns:xm="http://schemas.microsoft.com/office/excel/2006/main">
          <x14:cfRule type="dataBar" id="{789B67C9-7828-4F44-845E-6CF3D8E5BF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U64:U64</xm:sqref>
        </x14:conditionalFormatting>
        <x14:conditionalFormatting xmlns:xm="http://schemas.microsoft.com/office/excel/2006/main">
          <x14:cfRule type="dataBar" id="{188C7B8E-ECE8-4833-BE2A-658218B4F3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U65:U65</xm:sqref>
        </x14:conditionalFormatting>
        <x14:conditionalFormatting xmlns:xm="http://schemas.microsoft.com/office/excel/2006/main">
          <x14:cfRule type="dataBar" id="{74AAACDE-EA9F-44B2-A566-1F8EFB66F5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U66:U66</xm:sqref>
        </x14:conditionalFormatting>
        <x14:conditionalFormatting xmlns:xm="http://schemas.microsoft.com/office/excel/2006/main">
          <x14:cfRule type="dataBar" id="{5D2EC255-1302-4E08-8FFE-D2691E0F9C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U67:U67</xm:sqref>
        </x14:conditionalFormatting>
        <x14:conditionalFormatting xmlns:xm="http://schemas.microsoft.com/office/excel/2006/main">
          <x14:cfRule type="dataBar" id="{EECE0DD6-46B5-4699-B689-DCEFE421EC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U68:U68</xm:sqref>
        </x14:conditionalFormatting>
        <x14:conditionalFormatting xmlns:xm="http://schemas.microsoft.com/office/excel/2006/main">
          <x14:cfRule type="dataBar" id="{C9B4E7F2-E4EA-4B9E-A455-B65E760F16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U69:U69</xm:sqref>
        </x14:conditionalFormatting>
        <x14:conditionalFormatting xmlns:xm="http://schemas.microsoft.com/office/excel/2006/main">
          <x14:cfRule type="dataBar" id="{CD3DD029-D868-471C-80F0-56A7C830BB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U70:U70</xm:sqref>
        </x14:conditionalFormatting>
        <x14:conditionalFormatting xmlns:xm="http://schemas.microsoft.com/office/excel/2006/main">
          <x14:cfRule type="dataBar" id="{61893A53-C173-4BDE-A1C1-4357124939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U71:U71</xm:sqref>
        </x14:conditionalFormatting>
        <x14:conditionalFormatting xmlns:xm="http://schemas.microsoft.com/office/excel/2006/main">
          <x14:cfRule type="dataBar" id="{6C8875E3-F614-4A7B-995B-4E9362F96A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U72:U72</xm:sqref>
        </x14:conditionalFormatting>
        <x14:conditionalFormatting xmlns:xm="http://schemas.microsoft.com/office/excel/2006/main">
          <x14:cfRule type="dataBar" id="{DEE7438E-9638-48D3-B5ED-E204011861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Q4:Q1048555 Q1:Q2</xm:sqref>
        </x14:conditionalFormatting>
      </x14:conditionalFormattings>
    </x:ext>
  </x:extLst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WBS</vt:lpstr>
    </vt:vector>
  </ep:TitlesOfParts>
  <ep:TotalTime>828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607-10</dc:creator>
  <cp:lastModifiedBy>a</cp:lastModifiedBy>
  <cp:revision>50</cp:revision>
  <cp:lastPrinted>2025-07-11T09:02:43.325</cp:lastPrinted>
  <dcterms:created xsi:type="dcterms:W3CDTF">2025-02-10T05:16:47.000</dcterms:created>
  <dcterms:modified xsi:type="dcterms:W3CDTF">2025-07-22T16:51:01.086</dcterms:modified>
  <cp:version>0906.0200.01</cp:version>
</cp:coreProperties>
</file>